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Admin\Documents\FB9912 MOOC LE293 04.09 GR 32460 0902GF-TH26\"/>
    </mc:Choice>
  </mc:AlternateContent>
  <xr:revisionPtr revIDLastSave="0" documentId="13_ncr:1_{E2521326-0C15-479B-961D-572029D34C1E}" xr6:coauthVersionLast="47" xr6:coauthVersionMax="47" xr10:uidLastSave="{00000000-0000-0000-0000-000000000000}"/>
  <bookViews>
    <workbookView xWindow="-60" yWindow="-60" windowWidth="28920" windowHeight="15720" firstSheet="1" activeTab="1" xr2:uid="{9FAD26FD-B700-48B1-A437-067464632322}"/>
  </bookViews>
  <sheets>
    <sheet name="Thông tin xe" sheetId="20" state="hidden" r:id="rId1"/>
    <sheet name="HỢP ĐỒNG" sheetId="6" r:id="rId2"/>
    <sheet name="INV TIẾNG ANH" sheetId="22" r:id="rId3"/>
    <sheet name="INVOICE" sheetId="1" r:id="rId4"/>
    <sheet name="PACKINGLIST" sheetId="2" r:id="rId5"/>
    <sheet name="nhập máy" sheetId="9" r:id="rId6"/>
    <sheet name="INVOICE lam CO" sheetId="10" r:id="rId7"/>
    <sheet name="Sheet1" sheetId="12" state="hidden" r:id="rId8"/>
    <sheet name="LIST SOAT" sheetId="17" state="hidden" r:id="rId9"/>
    <sheet name="BAN_KE" sheetId="18" state="hidden" r:id="rId10"/>
    <sheet name="HUONG_DAN" sheetId="19" state="hidden" r:id="rId11"/>
  </sheets>
  <definedNames>
    <definedName name="_xlnm._FilterDatabase" localSheetId="1" hidden="1">'HỢP ĐỒNG'!$A$18:$Q$144</definedName>
    <definedName name="_xlnm._FilterDatabase" localSheetId="6" hidden="1">'INVOICE lam CO'!$A$14:$I$139</definedName>
    <definedName name="_xlnm._FilterDatabase" localSheetId="5" hidden="1">'nhập máy'!$A$1:$Z$1</definedName>
    <definedName name="_xlnm._FilterDatabase" localSheetId="4" hidden="1">PACKINGLIST!$A$12:$I$141</definedName>
    <definedName name="LTE">#REF!</definedName>
    <definedName name="_xlnm.Print_Area" localSheetId="2">'INV TIẾNG ANH'!$A$1:$G$147</definedName>
    <definedName name="_xlnm.Print_Area" localSheetId="3">INVOICE!$A$1:$I$148</definedName>
    <definedName name="_xlnm.Print_Area" localSheetId="6">'INVOICE lam CO'!$A$1:$H$140</definedName>
    <definedName name="_xlnm.Print_Area" localSheetId="4">PACKINGLIST!$A$1:$H$145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9" l="1"/>
  <c r="J4" i="9"/>
  <c r="J5" i="9"/>
  <c r="J6" i="9"/>
  <c r="J7" i="9"/>
  <c r="J8" i="9"/>
  <c r="J9" i="9"/>
  <c r="J10" i="9"/>
  <c r="J11" i="9"/>
  <c r="J12" i="9"/>
  <c r="J13" i="9"/>
  <c r="J14" i="9"/>
  <c r="J15" i="9"/>
  <c r="J16" i="9"/>
  <c r="J17" i="9"/>
  <c r="J18" i="9"/>
  <c r="J19" i="9"/>
  <c r="J20" i="9"/>
  <c r="J21" i="9"/>
  <c r="J22" i="9"/>
  <c r="J23" i="9"/>
  <c r="J24" i="9"/>
  <c r="J25" i="9"/>
  <c r="J26" i="9"/>
  <c r="J27" i="9"/>
  <c r="J28" i="9"/>
  <c r="J29" i="9"/>
  <c r="J30" i="9"/>
  <c r="J31" i="9"/>
  <c r="J32" i="9"/>
  <c r="J33" i="9"/>
  <c r="J34" i="9"/>
  <c r="J35" i="9"/>
  <c r="J36" i="9"/>
  <c r="J37" i="9"/>
  <c r="J38" i="9"/>
  <c r="J39" i="9"/>
  <c r="J40" i="9"/>
  <c r="J41" i="9"/>
  <c r="J42" i="9"/>
  <c r="J43" i="9"/>
  <c r="J44" i="9"/>
  <c r="J45" i="9"/>
  <c r="J46" i="9"/>
  <c r="J47" i="9"/>
  <c r="J48" i="9"/>
  <c r="J49" i="9"/>
  <c r="J50" i="9"/>
  <c r="J51" i="9"/>
  <c r="J52" i="9"/>
  <c r="J53" i="9"/>
  <c r="J54" i="9"/>
  <c r="J55" i="9"/>
  <c r="J56" i="9"/>
  <c r="J57" i="9"/>
  <c r="J58" i="9"/>
  <c r="J59" i="9"/>
  <c r="J60" i="9"/>
  <c r="J61" i="9"/>
  <c r="J62" i="9"/>
  <c r="J63" i="9"/>
  <c r="J64" i="9"/>
  <c r="J65" i="9"/>
  <c r="J66" i="9"/>
  <c r="J67" i="9"/>
  <c r="J68" i="9"/>
  <c r="J69" i="9"/>
  <c r="J70" i="9"/>
  <c r="J71" i="9"/>
  <c r="J72" i="9"/>
  <c r="J73" i="9"/>
  <c r="J74" i="9"/>
  <c r="J75" i="9"/>
  <c r="J76" i="9"/>
  <c r="J77" i="9"/>
  <c r="J78" i="9"/>
  <c r="J79" i="9"/>
  <c r="J80" i="9"/>
  <c r="J81" i="9"/>
  <c r="J82" i="9"/>
  <c r="J83" i="9"/>
  <c r="J84" i="9"/>
  <c r="J85" i="9"/>
  <c r="J86" i="9"/>
  <c r="J87" i="9"/>
  <c r="J88" i="9"/>
  <c r="J89" i="9"/>
  <c r="J90" i="9"/>
  <c r="J91" i="9"/>
  <c r="J92" i="9"/>
  <c r="J93" i="9"/>
  <c r="J94" i="9"/>
  <c r="J95" i="9"/>
  <c r="J96" i="9"/>
  <c r="J97" i="9"/>
  <c r="J98" i="9"/>
  <c r="J99" i="9"/>
  <c r="J100" i="9"/>
  <c r="J101" i="9"/>
  <c r="J102" i="9"/>
  <c r="J103" i="9"/>
  <c r="J104" i="9"/>
  <c r="J105" i="9"/>
  <c r="J106" i="9"/>
  <c r="J107" i="9"/>
  <c r="J108" i="9"/>
  <c r="J109" i="9"/>
  <c r="J110" i="9"/>
  <c r="J111" i="9"/>
  <c r="J112" i="9"/>
  <c r="J113" i="9"/>
  <c r="J114" i="9"/>
  <c r="J115" i="9"/>
  <c r="J116" i="9"/>
  <c r="J117" i="9"/>
  <c r="J118" i="9"/>
  <c r="J119" i="9"/>
  <c r="J120" i="9"/>
  <c r="J121" i="9"/>
  <c r="J122" i="9"/>
  <c r="J123" i="9"/>
  <c r="J124" i="9"/>
  <c r="J125" i="9"/>
  <c r="J2" i="9"/>
  <c r="Z124" i="9"/>
  <c r="Y124" i="9" s="1"/>
  <c r="Z125" i="9"/>
  <c r="Y125" i="9" s="1"/>
  <c r="H137" i="2"/>
  <c r="G137" i="2"/>
  <c r="B135" i="2"/>
  <c r="C135" i="2"/>
  <c r="E135" i="2" s="1"/>
  <c r="D135" i="2"/>
  <c r="B136" i="2"/>
  <c r="C136" i="2"/>
  <c r="E136" i="2" s="1"/>
  <c r="D136" i="2"/>
  <c r="A135" i="2"/>
  <c r="A136" i="2"/>
  <c r="C124" i="9" l="1"/>
  <c r="D124" i="9"/>
  <c r="F124" i="9"/>
  <c r="C125" i="9"/>
  <c r="D125" i="9"/>
  <c r="F125" i="9"/>
  <c r="G125" i="9"/>
  <c r="A124" i="9"/>
  <c r="A125" i="9"/>
  <c r="I133" i="1"/>
  <c r="I134" i="1"/>
  <c r="B133" i="1"/>
  <c r="C133" i="1"/>
  <c r="D133" i="1"/>
  <c r="E133" i="1"/>
  <c r="F133" i="1"/>
  <c r="B134" i="1"/>
  <c r="C134" i="1"/>
  <c r="D134" i="1"/>
  <c r="E134" i="1"/>
  <c r="F134" i="1"/>
  <c r="C132" i="22"/>
  <c r="E132" i="22"/>
  <c r="C133" i="22"/>
  <c r="E133" i="22"/>
  <c r="B132" i="22"/>
  <c r="B133" i="22"/>
  <c r="E137" i="10"/>
  <c r="D132" i="22" s="1"/>
  <c r="F137" i="10"/>
  <c r="E138" i="10"/>
  <c r="D133" i="22" s="1"/>
  <c r="F138" i="10"/>
  <c r="D137" i="10"/>
  <c r="G124" i="9" s="1"/>
  <c r="D138" i="10"/>
  <c r="C137" i="10"/>
  <c r="C138" i="10"/>
  <c r="A137" i="10"/>
  <c r="A138" i="10"/>
  <c r="B10" i="22"/>
  <c r="B11" i="22"/>
  <c r="B12" i="22"/>
  <c r="B13" i="22"/>
  <c r="B14" i="22"/>
  <c r="B15" i="22"/>
  <c r="B16" i="22"/>
  <c r="B17" i="22"/>
  <c r="B18" i="22"/>
  <c r="B19" i="22"/>
  <c r="B20" i="22"/>
  <c r="B21" i="22"/>
  <c r="B22" i="22"/>
  <c r="B23" i="22"/>
  <c r="B24" i="22"/>
  <c r="B25" i="22"/>
  <c r="B26" i="22"/>
  <c r="B27" i="22"/>
  <c r="B28" i="22"/>
  <c r="B29" i="22"/>
  <c r="B30" i="22"/>
  <c r="B31" i="22"/>
  <c r="B32" i="22"/>
  <c r="B33" i="22"/>
  <c r="B34" i="22"/>
  <c r="B35" i="22"/>
  <c r="B36" i="22"/>
  <c r="B37" i="22"/>
  <c r="B38" i="22"/>
  <c r="B39" i="22"/>
  <c r="B40" i="22"/>
  <c r="B41" i="22"/>
  <c r="B42" i="22"/>
  <c r="B43" i="22"/>
  <c r="B44" i="22"/>
  <c r="B45" i="22"/>
  <c r="B46" i="22"/>
  <c r="B47" i="22"/>
  <c r="B48" i="22"/>
  <c r="B49" i="22"/>
  <c r="B50" i="22"/>
  <c r="B51" i="22"/>
  <c r="B52" i="22"/>
  <c r="B53" i="22"/>
  <c r="B54" i="22"/>
  <c r="B55" i="22"/>
  <c r="B56" i="22"/>
  <c r="B57" i="22"/>
  <c r="B58" i="22"/>
  <c r="B59" i="22"/>
  <c r="B60" i="22"/>
  <c r="B61" i="22"/>
  <c r="B62" i="22"/>
  <c r="B63" i="22"/>
  <c r="B64" i="22"/>
  <c r="B65" i="22"/>
  <c r="B66" i="22"/>
  <c r="B67" i="22"/>
  <c r="B68" i="22"/>
  <c r="B69" i="22"/>
  <c r="B70" i="22"/>
  <c r="B71" i="22"/>
  <c r="B72" i="22"/>
  <c r="B73" i="22"/>
  <c r="B74" i="22"/>
  <c r="B75" i="22"/>
  <c r="B76" i="22"/>
  <c r="B77" i="22"/>
  <c r="B78" i="22"/>
  <c r="B79" i="22"/>
  <c r="B80" i="22"/>
  <c r="B81" i="22"/>
  <c r="B82" i="22"/>
  <c r="B83" i="22"/>
  <c r="B84" i="22"/>
  <c r="B85" i="22"/>
  <c r="B86" i="22"/>
  <c r="B87" i="22"/>
  <c r="B88" i="22"/>
  <c r="B89" i="22"/>
  <c r="B90" i="22"/>
  <c r="B91" i="22"/>
  <c r="B92" i="22"/>
  <c r="B93" i="22"/>
  <c r="B94" i="22"/>
  <c r="B95" i="22"/>
  <c r="B96" i="22"/>
  <c r="B97" i="22"/>
  <c r="B98" i="22"/>
  <c r="B99" i="22"/>
  <c r="B100" i="22"/>
  <c r="B101" i="22"/>
  <c r="B102" i="22"/>
  <c r="B103" i="22"/>
  <c r="B104" i="22"/>
  <c r="B105" i="22"/>
  <c r="B106" i="22"/>
  <c r="B107" i="22"/>
  <c r="B108" i="22"/>
  <c r="B109" i="22"/>
  <c r="B110" i="22"/>
  <c r="B111" i="22"/>
  <c r="B112" i="22"/>
  <c r="B113" i="22"/>
  <c r="B114" i="22"/>
  <c r="B115" i="22"/>
  <c r="B116" i="22"/>
  <c r="B117" i="22"/>
  <c r="B118" i="22"/>
  <c r="B119" i="22"/>
  <c r="B120" i="22"/>
  <c r="B121" i="22"/>
  <c r="B122" i="22"/>
  <c r="B123" i="22"/>
  <c r="B124" i="22"/>
  <c r="B125" i="22"/>
  <c r="B126" i="22"/>
  <c r="B127" i="22"/>
  <c r="B128" i="22"/>
  <c r="B129" i="22"/>
  <c r="B130" i="22"/>
  <c r="B131" i="22"/>
  <c r="A132" i="22"/>
  <c r="A133" i="22"/>
  <c r="F143" i="6"/>
  <c r="E143" i="6"/>
  <c r="J141" i="6"/>
  <c r="J142" i="6"/>
  <c r="G141" i="6"/>
  <c r="L141" i="6" s="1"/>
  <c r="O141" i="6" s="1"/>
  <c r="Q141" i="6" s="1"/>
  <c r="G142" i="6"/>
  <c r="L142" i="6" s="1"/>
  <c r="O142" i="6" s="1"/>
  <c r="Q142" i="6" s="1"/>
  <c r="G20" i="6"/>
  <c r="X20" i="6" s="1"/>
  <c r="G21" i="6"/>
  <c r="X21" i="6" s="1"/>
  <c r="G22" i="6"/>
  <c r="X22" i="6" s="1"/>
  <c r="G23" i="6"/>
  <c r="X23" i="6" s="1"/>
  <c r="G24" i="6"/>
  <c r="G25" i="6"/>
  <c r="X25" i="6" s="1"/>
  <c r="G26" i="6"/>
  <c r="S26" i="6" s="1"/>
  <c r="G27" i="6"/>
  <c r="X27" i="6" s="1"/>
  <c r="G28" i="6"/>
  <c r="X28" i="6" s="1"/>
  <c r="G29" i="6"/>
  <c r="X29" i="6" s="1"/>
  <c r="G30" i="6"/>
  <c r="X30" i="6" s="1"/>
  <c r="G31" i="6"/>
  <c r="G23" i="1" s="1"/>
  <c r="G32" i="6"/>
  <c r="X32" i="6" s="1"/>
  <c r="G33" i="6"/>
  <c r="X33" i="6" s="1"/>
  <c r="G34" i="6"/>
  <c r="L34" i="6" s="1"/>
  <c r="G35" i="6"/>
  <c r="F26" i="22" s="1"/>
  <c r="G36" i="6"/>
  <c r="S36" i="6" s="1"/>
  <c r="G37" i="6"/>
  <c r="X37" i="6" s="1"/>
  <c r="G38" i="6"/>
  <c r="X38" i="6" s="1"/>
  <c r="G39" i="6"/>
  <c r="X39" i="6" s="1"/>
  <c r="G40" i="6"/>
  <c r="X40" i="6" s="1"/>
  <c r="G41" i="6"/>
  <c r="X41" i="6" s="1"/>
  <c r="G42" i="6"/>
  <c r="X42" i="6" s="1"/>
  <c r="G43" i="6"/>
  <c r="X43" i="6" s="1"/>
  <c r="G44" i="6"/>
  <c r="X44" i="6" s="1"/>
  <c r="G45" i="6"/>
  <c r="X45" i="6" s="1"/>
  <c r="G46" i="6"/>
  <c r="X46" i="6" s="1"/>
  <c r="G47" i="6"/>
  <c r="X47" i="6" s="1"/>
  <c r="G48" i="6"/>
  <c r="S48" i="6" s="1"/>
  <c r="G49" i="6"/>
  <c r="G41" i="1" s="1"/>
  <c r="G50" i="6"/>
  <c r="X50" i="6" s="1"/>
  <c r="G51" i="6"/>
  <c r="X51" i="6" s="1"/>
  <c r="G52" i="6"/>
  <c r="X52" i="6" s="1"/>
  <c r="G53" i="6"/>
  <c r="X53" i="6" s="1"/>
  <c r="G54" i="6"/>
  <c r="X54" i="6" s="1"/>
  <c r="G55" i="6"/>
  <c r="L55" i="6" s="1"/>
  <c r="T55" i="6" s="1"/>
  <c r="V55" i="6" s="1"/>
  <c r="G56" i="6"/>
  <c r="X56" i="6" s="1"/>
  <c r="G57" i="6"/>
  <c r="X57" i="6" s="1"/>
  <c r="G58" i="6"/>
  <c r="X58" i="6" s="1"/>
  <c r="G59" i="6"/>
  <c r="G60" i="6"/>
  <c r="S60" i="6" s="1"/>
  <c r="G61" i="6"/>
  <c r="X61" i="6" s="1"/>
  <c r="G62" i="6"/>
  <c r="X62" i="6" s="1"/>
  <c r="G63" i="6"/>
  <c r="X63" i="6" s="1"/>
  <c r="G64" i="6"/>
  <c r="X64" i="6" s="1"/>
  <c r="G65" i="6"/>
  <c r="X65" i="6" s="1"/>
  <c r="G66" i="6"/>
  <c r="X66" i="6" s="1"/>
  <c r="G67" i="6"/>
  <c r="L67" i="6" s="1"/>
  <c r="T67" i="6" s="1"/>
  <c r="V67" i="6" s="1"/>
  <c r="G68" i="6"/>
  <c r="X68" i="6" s="1"/>
  <c r="G69" i="6"/>
  <c r="X69" i="6" s="1"/>
  <c r="G70" i="6"/>
  <c r="X70" i="6" s="1"/>
  <c r="G71" i="6"/>
  <c r="X71" i="6" s="1"/>
  <c r="G72" i="6"/>
  <c r="X72" i="6" s="1"/>
  <c r="G73" i="6"/>
  <c r="G65" i="1" s="1"/>
  <c r="G74" i="6"/>
  <c r="F65" i="22" s="1"/>
  <c r="G75" i="6"/>
  <c r="X75" i="6" s="1"/>
  <c r="G76" i="6"/>
  <c r="X76" i="6" s="1"/>
  <c r="G77" i="6"/>
  <c r="X77" i="6" s="1"/>
  <c r="G78" i="6"/>
  <c r="X78" i="6" s="1"/>
  <c r="G79" i="6"/>
  <c r="X79" i="6" s="1"/>
  <c r="G80" i="6"/>
  <c r="G81" i="6"/>
  <c r="L81" i="6" s="1"/>
  <c r="G82" i="6"/>
  <c r="S82" i="6" s="1"/>
  <c r="G83" i="6"/>
  <c r="X83" i="6" s="1"/>
  <c r="G84" i="6"/>
  <c r="X84" i="6" s="1"/>
  <c r="G85" i="6"/>
  <c r="X85" i="6" s="1"/>
  <c r="G86" i="6"/>
  <c r="X86" i="6" s="1"/>
  <c r="G87" i="6"/>
  <c r="F78" i="22" s="1"/>
  <c r="G88" i="6"/>
  <c r="X88" i="6" s="1"/>
  <c r="G89" i="6"/>
  <c r="X89" i="6" s="1"/>
  <c r="G90" i="6"/>
  <c r="S90" i="6" s="1"/>
  <c r="G91" i="6"/>
  <c r="X91" i="6" s="1"/>
  <c r="G92" i="6"/>
  <c r="X92" i="6" s="1"/>
  <c r="G93" i="6"/>
  <c r="F84" i="22" s="1"/>
  <c r="G94" i="6"/>
  <c r="X94" i="6" s="1"/>
  <c r="G95" i="6"/>
  <c r="X95" i="6" s="1"/>
  <c r="G96" i="6"/>
  <c r="X96" i="6" s="1"/>
  <c r="G97" i="6"/>
  <c r="X97" i="6" s="1"/>
  <c r="G98" i="6"/>
  <c r="X98" i="6" s="1"/>
  <c r="G99" i="6"/>
  <c r="X99" i="6" s="1"/>
  <c r="G100" i="6"/>
  <c r="X100" i="6" s="1"/>
  <c r="G101" i="6"/>
  <c r="X101" i="6" s="1"/>
  <c r="G102" i="6"/>
  <c r="X102" i="6" s="1"/>
  <c r="G103" i="6"/>
  <c r="X103" i="6" s="1"/>
  <c r="G104" i="6"/>
  <c r="X104" i="6" s="1"/>
  <c r="G105" i="6"/>
  <c r="X105" i="6" s="1"/>
  <c r="G106" i="6"/>
  <c r="L106" i="6" s="1"/>
  <c r="N106" i="6" s="1"/>
  <c r="O106" i="6" s="1"/>
  <c r="Q106" i="6" s="1"/>
  <c r="G107" i="6"/>
  <c r="X107" i="6" s="1"/>
  <c r="G108" i="6"/>
  <c r="X108" i="6" s="1"/>
  <c r="G109" i="6"/>
  <c r="X109" i="6" s="1"/>
  <c r="G110" i="6"/>
  <c r="X110" i="6" s="1"/>
  <c r="G111" i="6"/>
  <c r="G103" i="1" s="1"/>
  <c r="G112" i="6"/>
  <c r="G113" i="6"/>
  <c r="F104" i="22" s="1"/>
  <c r="G114" i="6"/>
  <c r="F105" i="22" s="1"/>
  <c r="G115" i="6"/>
  <c r="X115" i="6" s="1"/>
  <c r="G116" i="6"/>
  <c r="X116" i="6" s="1"/>
  <c r="G117" i="6"/>
  <c r="X117" i="6" s="1"/>
  <c r="G118" i="6"/>
  <c r="X118" i="6" s="1"/>
  <c r="G119" i="6"/>
  <c r="X119" i="6" s="1"/>
  <c r="G120" i="6"/>
  <c r="X120" i="6" s="1"/>
  <c r="G121" i="6"/>
  <c r="G113" i="1" s="1"/>
  <c r="G122" i="6"/>
  <c r="L122" i="6" s="1"/>
  <c r="N122" i="6" s="1"/>
  <c r="O122" i="6" s="1"/>
  <c r="Q122" i="6" s="1"/>
  <c r="G123" i="6"/>
  <c r="G115" i="1" s="1"/>
  <c r="G124" i="6"/>
  <c r="X124" i="6" s="1"/>
  <c r="G125" i="6"/>
  <c r="X125" i="6" s="1"/>
  <c r="G126" i="6"/>
  <c r="L126" i="6" s="1"/>
  <c r="G127" i="6"/>
  <c r="L127" i="6" s="1"/>
  <c r="N127" i="6" s="1"/>
  <c r="G128" i="6"/>
  <c r="X128" i="6" s="1"/>
  <c r="G129" i="6"/>
  <c r="X129" i="6" s="1"/>
  <c r="G130" i="6"/>
  <c r="L130" i="6" s="1"/>
  <c r="T130" i="6" s="1"/>
  <c r="V130" i="6" s="1"/>
  <c r="G131" i="6"/>
  <c r="X131" i="6" s="1"/>
  <c r="G132" i="6"/>
  <c r="S132" i="6" s="1"/>
  <c r="G133" i="6"/>
  <c r="G125" i="1" s="1"/>
  <c r="G134" i="6"/>
  <c r="X134" i="6" s="1"/>
  <c r="G135" i="6"/>
  <c r="X135" i="6" s="1"/>
  <c r="G136" i="6"/>
  <c r="X136" i="6" s="1"/>
  <c r="G137" i="6"/>
  <c r="X137" i="6" s="1"/>
  <c r="G138" i="6"/>
  <c r="X138" i="6" s="1"/>
  <c r="G139" i="6"/>
  <c r="G140" i="6"/>
  <c r="X140" i="6" s="1"/>
  <c r="K5" i="1"/>
  <c r="K4" i="1"/>
  <c r="F4" i="1" s="1"/>
  <c r="C5" i="2" s="1"/>
  <c r="C6" i="2" s="1"/>
  <c r="A2" i="6"/>
  <c r="M143" i="6"/>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G14" i="1"/>
  <c r="F52" i="22"/>
  <c r="F55" i="22"/>
  <c r="G86" i="1"/>
  <c r="F90" i="22"/>
  <c r="F95" i="22"/>
  <c r="F119" i="22"/>
  <c r="F122" i="22"/>
  <c r="E11" i="22"/>
  <c r="G11" i="22"/>
  <c r="H11" i="22"/>
  <c r="E12" i="22"/>
  <c r="G12" i="22"/>
  <c r="H12" i="22"/>
  <c r="E13" i="22"/>
  <c r="G13" i="22"/>
  <c r="H13" i="22"/>
  <c r="E14" i="22"/>
  <c r="G14" i="22"/>
  <c r="H14" i="22"/>
  <c r="E15" i="22"/>
  <c r="G15" i="22"/>
  <c r="H15" i="22"/>
  <c r="E16" i="22"/>
  <c r="G16" i="22"/>
  <c r="H16" i="22"/>
  <c r="E17" i="22"/>
  <c r="G17" i="22"/>
  <c r="H17" i="22"/>
  <c r="E18" i="22"/>
  <c r="G18" i="22"/>
  <c r="H18" i="22"/>
  <c r="E19" i="22"/>
  <c r="G19" i="22"/>
  <c r="H19" i="22"/>
  <c r="E20" i="22"/>
  <c r="G20" i="22"/>
  <c r="H20" i="22"/>
  <c r="E21" i="22"/>
  <c r="G21" i="22"/>
  <c r="H21" i="22"/>
  <c r="E22" i="22"/>
  <c r="G22" i="22"/>
  <c r="H22" i="22"/>
  <c r="E23" i="22"/>
  <c r="G23" i="22"/>
  <c r="H23" i="22"/>
  <c r="E24" i="22"/>
  <c r="G24" i="22"/>
  <c r="H24" i="22"/>
  <c r="E25" i="22"/>
  <c r="G25" i="22"/>
  <c r="H25" i="22"/>
  <c r="E26" i="22"/>
  <c r="G26" i="22"/>
  <c r="H26" i="22"/>
  <c r="E27" i="22"/>
  <c r="G27" i="22"/>
  <c r="H27" i="22"/>
  <c r="E28" i="22"/>
  <c r="G28" i="22"/>
  <c r="H28" i="22"/>
  <c r="E29" i="22"/>
  <c r="G29" i="22"/>
  <c r="H29" i="22"/>
  <c r="E30" i="22"/>
  <c r="G30" i="22"/>
  <c r="H30" i="22"/>
  <c r="E31" i="22"/>
  <c r="G31" i="22"/>
  <c r="H31" i="22"/>
  <c r="E32" i="22"/>
  <c r="G32" i="22"/>
  <c r="H32" i="22"/>
  <c r="E33" i="22"/>
  <c r="G33" i="22"/>
  <c r="H33" i="22"/>
  <c r="E34" i="22"/>
  <c r="G34" i="22"/>
  <c r="H34" i="22"/>
  <c r="E35" i="22"/>
  <c r="G35" i="22"/>
  <c r="H35" i="22"/>
  <c r="E36" i="22"/>
  <c r="G36" i="22"/>
  <c r="H36" i="22"/>
  <c r="E37" i="22"/>
  <c r="G37" i="22"/>
  <c r="H37" i="22"/>
  <c r="E38" i="22"/>
  <c r="G38" i="22"/>
  <c r="H38" i="22"/>
  <c r="E39" i="22"/>
  <c r="G39" i="22"/>
  <c r="H39" i="22"/>
  <c r="E40" i="22"/>
  <c r="G40" i="22"/>
  <c r="H40" i="22"/>
  <c r="E41" i="22"/>
  <c r="G41" i="22"/>
  <c r="H41" i="22"/>
  <c r="E42" i="22"/>
  <c r="G42" i="22"/>
  <c r="H42" i="22"/>
  <c r="E43" i="22"/>
  <c r="G43" i="22"/>
  <c r="H43" i="22"/>
  <c r="E44" i="22"/>
  <c r="G44" i="22"/>
  <c r="H44" i="22"/>
  <c r="E45" i="22"/>
  <c r="G45" i="22"/>
  <c r="H45" i="22"/>
  <c r="E46" i="22"/>
  <c r="G46" i="22"/>
  <c r="H46" i="22"/>
  <c r="E47" i="22"/>
  <c r="G47" i="22"/>
  <c r="H47" i="22"/>
  <c r="E48" i="22"/>
  <c r="G48" i="22"/>
  <c r="H48" i="22"/>
  <c r="E49" i="22"/>
  <c r="G49" i="22"/>
  <c r="H49" i="22"/>
  <c r="E50" i="22"/>
  <c r="G50" i="22"/>
  <c r="H50" i="22"/>
  <c r="E51" i="22"/>
  <c r="G51" i="22"/>
  <c r="H51" i="22"/>
  <c r="E52" i="22"/>
  <c r="G52" i="22"/>
  <c r="H52" i="22"/>
  <c r="E53" i="22"/>
  <c r="G53" i="22"/>
  <c r="H53" i="22"/>
  <c r="E54" i="22"/>
  <c r="G54" i="22"/>
  <c r="H54" i="22"/>
  <c r="E55" i="22"/>
  <c r="G55" i="22"/>
  <c r="H55" i="22"/>
  <c r="E56" i="22"/>
  <c r="G56" i="22"/>
  <c r="H56" i="22"/>
  <c r="E57" i="22"/>
  <c r="G57" i="22"/>
  <c r="H57" i="22"/>
  <c r="E58" i="22"/>
  <c r="G58" i="22"/>
  <c r="H58" i="22"/>
  <c r="E59" i="22"/>
  <c r="G59" i="22"/>
  <c r="H59" i="22"/>
  <c r="E60" i="22"/>
  <c r="G60" i="22"/>
  <c r="H60" i="22"/>
  <c r="E61" i="22"/>
  <c r="G61" i="22"/>
  <c r="H61" i="22"/>
  <c r="E62" i="22"/>
  <c r="G62" i="22"/>
  <c r="H62" i="22"/>
  <c r="E63" i="22"/>
  <c r="G63" i="22"/>
  <c r="H63" i="22"/>
  <c r="E64" i="22"/>
  <c r="G64" i="22"/>
  <c r="H64" i="22"/>
  <c r="E65" i="22"/>
  <c r="G65" i="22"/>
  <c r="H65" i="22"/>
  <c r="E66" i="22"/>
  <c r="G66" i="22"/>
  <c r="H66" i="22"/>
  <c r="E67" i="22"/>
  <c r="G67" i="22"/>
  <c r="H67" i="22"/>
  <c r="E68" i="22"/>
  <c r="G68" i="22"/>
  <c r="H68" i="22"/>
  <c r="E69" i="22"/>
  <c r="G69" i="22"/>
  <c r="H69" i="22"/>
  <c r="E70" i="22"/>
  <c r="G70" i="22"/>
  <c r="H70" i="22"/>
  <c r="E71" i="22"/>
  <c r="G71" i="22"/>
  <c r="H71" i="22"/>
  <c r="E72" i="22"/>
  <c r="G72" i="22"/>
  <c r="H72" i="22"/>
  <c r="E73" i="22"/>
  <c r="G73" i="22"/>
  <c r="H73" i="22"/>
  <c r="E74" i="22"/>
  <c r="G74" i="22"/>
  <c r="H74" i="22"/>
  <c r="E75" i="22"/>
  <c r="G75" i="22"/>
  <c r="H75" i="22"/>
  <c r="E76" i="22"/>
  <c r="G76" i="22"/>
  <c r="H76" i="22"/>
  <c r="E77" i="22"/>
  <c r="F77" i="22"/>
  <c r="G77" i="22"/>
  <c r="H77" i="22"/>
  <c r="E78" i="22"/>
  <c r="G78" i="22"/>
  <c r="H78" i="22"/>
  <c r="E79" i="22"/>
  <c r="G79" i="22"/>
  <c r="H79" i="22"/>
  <c r="E80" i="22"/>
  <c r="G80" i="22"/>
  <c r="H80" i="22"/>
  <c r="E81" i="22"/>
  <c r="G81" i="22"/>
  <c r="H81" i="22"/>
  <c r="E82" i="22"/>
  <c r="G82" i="22"/>
  <c r="H82" i="22"/>
  <c r="E83" i="22"/>
  <c r="G83" i="22"/>
  <c r="H83" i="22"/>
  <c r="E84" i="22"/>
  <c r="G84" i="22"/>
  <c r="H84" i="22"/>
  <c r="E85" i="22"/>
  <c r="G85" i="22"/>
  <c r="H85" i="22"/>
  <c r="E86" i="22"/>
  <c r="G86" i="22"/>
  <c r="H86" i="22"/>
  <c r="E87" i="22"/>
  <c r="G87" i="22"/>
  <c r="H87" i="22"/>
  <c r="E88" i="22"/>
  <c r="G88" i="22"/>
  <c r="H88" i="22"/>
  <c r="E89" i="22"/>
  <c r="G89" i="22"/>
  <c r="H89" i="22"/>
  <c r="E90" i="22"/>
  <c r="G90" i="22"/>
  <c r="H90" i="22"/>
  <c r="E91" i="22"/>
  <c r="G91" i="22"/>
  <c r="H91" i="22"/>
  <c r="E92" i="22"/>
  <c r="G92" i="22"/>
  <c r="H92" i="22"/>
  <c r="E93" i="22"/>
  <c r="G93" i="22"/>
  <c r="H93" i="22"/>
  <c r="E94" i="22"/>
  <c r="G94" i="22"/>
  <c r="H94" i="22"/>
  <c r="E95" i="22"/>
  <c r="G95" i="22"/>
  <c r="H95" i="22"/>
  <c r="E96" i="22"/>
  <c r="G96" i="22"/>
  <c r="H96" i="22"/>
  <c r="E97" i="22"/>
  <c r="G97" i="22"/>
  <c r="H97" i="22"/>
  <c r="E98" i="22"/>
  <c r="G98" i="22"/>
  <c r="H98" i="22"/>
  <c r="E99" i="22"/>
  <c r="G99" i="22"/>
  <c r="H99" i="22"/>
  <c r="E100" i="22"/>
  <c r="G100" i="22"/>
  <c r="H100" i="22"/>
  <c r="E101" i="22"/>
  <c r="G101" i="22"/>
  <c r="H101" i="22"/>
  <c r="E102" i="22"/>
  <c r="G102" i="22"/>
  <c r="H102" i="22"/>
  <c r="E103" i="22"/>
  <c r="G103" i="22"/>
  <c r="H103" i="22"/>
  <c r="E104" i="22"/>
  <c r="G104" i="22"/>
  <c r="H104" i="22"/>
  <c r="E105" i="22"/>
  <c r="G105" i="22"/>
  <c r="H105" i="22"/>
  <c r="E106" i="22"/>
  <c r="G106" i="22"/>
  <c r="H106" i="22"/>
  <c r="E107" i="22"/>
  <c r="G107" i="22"/>
  <c r="H107" i="22"/>
  <c r="E108" i="22"/>
  <c r="G108" i="22"/>
  <c r="H108" i="22"/>
  <c r="E109" i="22"/>
  <c r="G109" i="22"/>
  <c r="H109" i="22"/>
  <c r="E110" i="22"/>
  <c r="G110" i="22"/>
  <c r="H110" i="22"/>
  <c r="E111" i="22"/>
  <c r="G111" i="22"/>
  <c r="H111" i="22"/>
  <c r="E112" i="22"/>
  <c r="G112" i="22"/>
  <c r="H112" i="22"/>
  <c r="E113" i="22"/>
  <c r="G113" i="22"/>
  <c r="H113" i="22"/>
  <c r="E114" i="22"/>
  <c r="G114" i="22"/>
  <c r="H114" i="22"/>
  <c r="E115" i="22"/>
  <c r="G115" i="22"/>
  <c r="H115" i="22"/>
  <c r="E116" i="22"/>
  <c r="G116" i="22"/>
  <c r="H116" i="22"/>
  <c r="E117" i="22"/>
  <c r="G117" i="22"/>
  <c r="H117" i="22"/>
  <c r="E118" i="22"/>
  <c r="G118" i="22"/>
  <c r="H118" i="22"/>
  <c r="E119" i="22"/>
  <c r="G119" i="22"/>
  <c r="H119" i="22"/>
  <c r="E120" i="22"/>
  <c r="G120" i="22"/>
  <c r="H120" i="22"/>
  <c r="E121" i="22"/>
  <c r="G121" i="22"/>
  <c r="H121" i="22"/>
  <c r="E122" i="22"/>
  <c r="G122" i="22"/>
  <c r="H122" i="22"/>
  <c r="E123" i="22"/>
  <c r="G123" i="22"/>
  <c r="H123" i="22"/>
  <c r="E124" i="22"/>
  <c r="G124" i="22"/>
  <c r="H124" i="22"/>
  <c r="E125" i="22"/>
  <c r="G125" i="22"/>
  <c r="H125" i="22"/>
  <c r="E126" i="22"/>
  <c r="G126" i="22"/>
  <c r="H126" i="22"/>
  <c r="E127" i="22"/>
  <c r="G127" i="22"/>
  <c r="H127" i="22"/>
  <c r="E128" i="22"/>
  <c r="G128" i="22"/>
  <c r="H128" i="22"/>
  <c r="E129" i="22"/>
  <c r="G129" i="22"/>
  <c r="H129" i="22"/>
  <c r="E130" i="22"/>
  <c r="G130" i="22"/>
  <c r="H130" i="22"/>
  <c r="E131" i="22"/>
  <c r="G131" i="22"/>
  <c r="H131" i="22"/>
  <c r="Z3" i="9"/>
  <c r="Y3" i="9" s="1"/>
  <c r="Z4" i="9"/>
  <c r="Y4" i="9" s="1"/>
  <c r="Z5" i="9"/>
  <c r="Y5" i="9" s="1"/>
  <c r="Z6" i="9"/>
  <c r="Y6" i="9" s="1"/>
  <c r="Z7" i="9"/>
  <c r="Y7" i="9" s="1"/>
  <c r="Z8" i="9"/>
  <c r="Y8" i="9" s="1"/>
  <c r="Z9" i="9"/>
  <c r="Y9" i="9" s="1"/>
  <c r="Z10" i="9"/>
  <c r="Y10" i="9" s="1"/>
  <c r="Z11" i="9"/>
  <c r="Y11" i="9" s="1"/>
  <c r="Z12" i="9"/>
  <c r="Y12" i="9" s="1"/>
  <c r="Z13" i="9"/>
  <c r="Y13" i="9" s="1"/>
  <c r="Z14" i="9"/>
  <c r="Y14" i="9" s="1"/>
  <c r="Z15" i="9"/>
  <c r="Y15" i="9" s="1"/>
  <c r="Z16" i="9"/>
  <c r="Y16" i="9" s="1"/>
  <c r="Z17" i="9"/>
  <c r="Y17" i="9" s="1"/>
  <c r="Z18" i="9"/>
  <c r="Y18" i="9" s="1"/>
  <c r="Z19" i="9"/>
  <c r="Y19" i="9" s="1"/>
  <c r="Z20" i="9"/>
  <c r="Y20" i="9" s="1"/>
  <c r="Z21" i="9"/>
  <c r="Y21" i="9" s="1"/>
  <c r="Z22" i="9"/>
  <c r="Y22" i="9" s="1"/>
  <c r="Z23" i="9"/>
  <c r="Y23" i="9" s="1"/>
  <c r="Z24" i="9"/>
  <c r="Y24" i="9" s="1"/>
  <c r="Z25" i="9"/>
  <c r="Y25" i="9" s="1"/>
  <c r="Z26" i="9"/>
  <c r="Y26" i="9" s="1"/>
  <c r="Z27" i="9"/>
  <c r="Y27" i="9" s="1"/>
  <c r="Z28" i="9"/>
  <c r="Y28" i="9" s="1"/>
  <c r="Z29" i="9"/>
  <c r="Y29" i="9" s="1"/>
  <c r="Z30" i="9"/>
  <c r="Y30" i="9" s="1"/>
  <c r="Z31" i="9"/>
  <c r="Y31" i="9" s="1"/>
  <c r="Z32" i="9"/>
  <c r="Y32" i="9" s="1"/>
  <c r="Z33" i="9"/>
  <c r="Y33" i="9" s="1"/>
  <c r="Z34" i="9"/>
  <c r="Y34" i="9" s="1"/>
  <c r="Z35" i="9"/>
  <c r="Y35" i="9" s="1"/>
  <c r="Z36" i="9"/>
  <c r="Y36" i="9" s="1"/>
  <c r="Z37" i="9"/>
  <c r="Y37" i="9" s="1"/>
  <c r="Z38" i="9"/>
  <c r="Y38" i="9" s="1"/>
  <c r="Z39" i="9"/>
  <c r="Y39" i="9" s="1"/>
  <c r="Z40" i="9"/>
  <c r="Y40" i="9" s="1"/>
  <c r="Z41" i="9"/>
  <c r="Y41" i="9" s="1"/>
  <c r="Z42" i="9"/>
  <c r="Y42" i="9" s="1"/>
  <c r="Z43" i="9"/>
  <c r="Y43" i="9" s="1"/>
  <c r="Z44" i="9"/>
  <c r="Y44" i="9" s="1"/>
  <c r="Z45" i="9"/>
  <c r="Y45" i="9" s="1"/>
  <c r="Z46" i="9"/>
  <c r="Y46" i="9" s="1"/>
  <c r="Z47" i="9"/>
  <c r="Y47" i="9" s="1"/>
  <c r="Z48" i="9"/>
  <c r="Y48" i="9" s="1"/>
  <c r="Z49" i="9"/>
  <c r="Y49" i="9" s="1"/>
  <c r="Z50" i="9"/>
  <c r="Y50" i="9" s="1"/>
  <c r="Z51" i="9"/>
  <c r="Y51" i="9" s="1"/>
  <c r="Z52" i="9"/>
  <c r="Y52" i="9" s="1"/>
  <c r="Z53" i="9"/>
  <c r="Y53" i="9" s="1"/>
  <c r="Z54" i="9"/>
  <c r="Y54" i="9" s="1"/>
  <c r="Z55" i="9"/>
  <c r="Y55" i="9"/>
  <c r="Z56" i="9"/>
  <c r="Y56" i="9" s="1"/>
  <c r="Z57" i="9"/>
  <c r="Y57" i="9" s="1"/>
  <c r="Z58" i="9"/>
  <c r="Y58" i="9" s="1"/>
  <c r="Z59" i="9"/>
  <c r="Y59" i="9" s="1"/>
  <c r="Z60" i="9"/>
  <c r="Y60" i="9" s="1"/>
  <c r="Z61" i="9"/>
  <c r="Y61" i="9" s="1"/>
  <c r="Z62" i="9"/>
  <c r="Y62" i="9" s="1"/>
  <c r="Z63" i="9"/>
  <c r="Y63" i="9" s="1"/>
  <c r="Z64" i="9"/>
  <c r="Y64" i="9" s="1"/>
  <c r="Z65" i="9"/>
  <c r="Y65" i="9" s="1"/>
  <c r="Z66" i="9"/>
  <c r="Y66" i="9" s="1"/>
  <c r="Z67" i="9"/>
  <c r="Y67" i="9" s="1"/>
  <c r="Z68" i="9"/>
  <c r="Y68" i="9" s="1"/>
  <c r="Z69" i="9"/>
  <c r="Y69" i="9"/>
  <c r="Z70" i="9"/>
  <c r="Y70" i="9" s="1"/>
  <c r="Z71" i="9"/>
  <c r="Y71" i="9" s="1"/>
  <c r="Z72" i="9"/>
  <c r="Y72" i="9" s="1"/>
  <c r="Z73" i="9"/>
  <c r="Y73" i="9" s="1"/>
  <c r="Z74" i="9"/>
  <c r="Y74" i="9" s="1"/>
  <c r="Z75" i="9"/>
  <c r="Y75" i="9" s="1"/>
  <c r="Z76" i="9"/>
  <c r="Y76" i="9" s="1"/>
  <c r="Z77" i="9"/>
  <c r="Y77" i="9" s="1"/>
  <c r="Z78" i="9"/>
  <c r="Y78" i="9" s="1"/>
  <c r="Z79" i="9"/>
  <c r="Y79" i="9" s="1"/>
  <c r="Z80" i="9"/>
  <c r="Y80" i="9" s="1"/>
  <c r="Z81" i="9"/>
  <c r="Y81" i="9" s="1"/>
  <c r="Z82" i="9"/>
  <c r="Y82" i="9" s="1"/>
  <c r="Z83" i="9"/>
  <c r="Y83" i="9" s="1"/>
  <c r="Z84" i="9"/>
  <c r="Y84" i="9" s="1"/>
  <c r="Z85" i="9"/>
  <c r="Y85" i="9" s="1"/>
  <c r="Z86" i="9"/>
  <c r="Y86" i="9" s="1"/>
  <c r="Z87" i="9"/>
  <c r="Y87" i="9" s="1"/>
  <c r="Z88" i="9"/>
  <c r="Y88" i="9" s="1"/>
  <c r="Z89" i="9"/>
  <c r="Y89" i="9" s="1"/>
  <c r="Z90" i="9"/>
  <c r="Y90" i="9" s="1"/>
  <c r="Z91" i="9"/>
  <c r="Y91" i="9" s="1"/>
  <c r="Z92" i="9"/>
  <c r="Y92" i="9"/>
  <c r="Z93" i="9"/>
  <c r="Y93" i="9" s="1"/>
  <c r="Z94" i="9"/>
  <c r="Y94" i="9" s="1"/>
  <c r="Z95" i="9"/>
  <c r="Y95" i="9" s="1"/>
  <c r="Z96" i="9"/>
  <c r="Y96" i="9" s="1"/>
  <c r="Z97" i="9"/>
  <c r="Y97" i="9" s="1"/>
  <c r="Z98" i="9"/>
  <c r="Y98" i="9" s="1"/>
  <c r="Z99" i="9"/>
  <c r="Y99" i="9"/>
  <c r="Z100" i="9"/>
  <c r="Y100" i="9" s="1"/>
  <c r="Z101" i="9"/>
  <c r="Y101" i="9" s="1"/>
  <c r="Z102" i="9"/>
  <c r="Y102" i="9" s="1"/>
  <c r="Z103" i="9"/>
  <c r="Y103" i="9" s="1"/>
  <c r="Z104" i="9"/>
  <c r="Y104" i="9" s="1"/>
  <c r="Z105" i="9"/>
  <c r="Y105" i="9" s="1"/>
  <c r="Z106" i="9"/>
  <c r="Y106" i="9" s="1"/>
  <c r="Z107" i="9"/>
  <c r="Y107" i="9" s="1"/>
  <c r="Z108" i="9"/>
  <c r="Y108" i="9" s="1"/>
  <c r="Z109" i="9"/>
  <c r="Y109" i="9" s="1"/>
  <c r="Z110" i="9"/>
  <c r="Y110" i="9" s="1"/>
  <c r="Z111" i="9"/>
  <c r="Y111" i="9" s="1"/>
  <c r="Z112" i="9"/>
  <c r="Y112" i="9" s="1"/>
  <c r="Z113" i="9"/>
  <c r="Y113" i="9" s="1"/>
  <c r="Z114" i="9"/>
  <c r="Y114" i="9" s="1"/>
  <c r="Z115" i="9"/>
  <c r="Y115" i="9" s="1"/>
  <c r="Z116" i="9"/>
  <c r="Y116" i="9" s="1"/>
  <c r="Z117" i="9"/>
  <c r="Y117" i="9" s="1"/>
  <c r="Z118" i="9"/>
  <c r="Y118" i="9" s="1"/>
  <c r="Z119" i="9"/>
  <c r="Y119" i="9" s="1"/>
  <c r="Z120" i="9"/>
  <c r="Y120" i="9" s="1"/>
  <c r="Z121" i="9"/>
  <c r="Y121" i="9" s="1"/>
  <c r="Z122" i="9"/>
  <c r="Y122" i="9" s="1"/>
  <c r="Z123" i="9"/>
  <c r="Y123" i="9" s="1"/>
  <c r="A3" i="9"/>
  <c r="A4" i="9"/>
  <c r="A5" i="9"/>
  <c r="A6" i="9"/>
  <c r="A7" i="9"/>
  <c r="A8" i="9"/>
  <c r="A9" i="9"/>
  <c r="A10" i="9"/>
  <c r="A11" i="9"/>
  <c r="A12" i="9"/>
  <c r="A13" i="9"/>
  <c r="A14" i="9"/>
  <c r="A15" i="9"/>
  <c r="A16" i="9"/>
  <c r="A17" i="9"/>
  <c r="A18" i="9"/>
  <c r="A19" i="9"/>
  <c r="A20" i="9"/>
  <c r="A21" i="9"/>
  <c r="A22" i="9"/>
  <c r="A23" i="9"/>
  <c r="A24" i="9"/>
  <c r="A25" i="9"/>
  <c r="A26" i="9"/>
  <c r="A27" i="9"/>
  <c r="A28" i="9"/>
  <c r="A29" i="9"/>
  <c r="A30" i="9"/>
  <c r="A31" i="9"/>
  <c r="A32" i="9"/>
  <c r="A33" i="9"/>
  <c r="A34" i="9"/>
  <c r="A35" i="9"/>
  <c r="A36" i="9"/>
  <c r="A37" i="9"/>
  <c r="A38" i="9"/>
  <c r="A39" i="9"/>
  <c r="A40" i="9"/>
  <c r="A41" i="9"/>
  <c r="A42" i="9"/>
  <c r="A43" i="9"/>
  <c r="A44" i="9"/>
  <c r="A45" i="9"/>
  <c r="A46" i="9"/>
  <c r="A47" i="9"/>
  <c r="A48" i="9"/>
  <c r="A49" i="9"/>
  <c r="A50" i="9"/>
  <c r="A51" i="9"/>
  <c r="A52" i="9"/>
  <c r="A53" i="9"/>
  <c r="A54" i="9"/>
  <c r="A55" i="9"/>
  <c r="A56" i="9"/>
  <c r="A57" i="9"/>
  <c r="A58" i="9"/>
  <c r="A59" i="9"/>
  <c r="A60" i="9"/>
  <c r="A61" i="9"/>
  <c r="A62" i="9"/>
  <c r="A63" i="9"/>
  <c r="A64" i="9"/>
  <c r="A65" i="9"/>
  <c r="A66" i="9"/>
  <c r="A67" i="9"/>
  <c r="A68" i="9"/>
  <c r="A69" i="9"/>
  <c r="A70" i="9"/>
  <c r="A71" i="9"/>
  <c r="A72" i="9"/>
  <c r="A73" i="9"/>
  <c r="A74" i="9"/>
  <c r="A75" i="9"/>
  <c r="A76" i="9"/>
  <c r="A77" i="9"/>
  <c r="A78" i="9"/>
  <c r="A79" i="9"/>
  <c r="A80" i="9"/>
  <c r="A81" i="9"/>
  <c r="A82" i="9"/>
  <c r="A83" i="9"/>
  <c r="A84" i="9"/>
  <c r="A85" i="9"/>
  <c r="A86" i="9"/>
  <c r="A87" i="9"/>
  <c r="A88" i="9"/>
  <c r="A89" i="9"/>
  <c r="A90" i="9"/>
  <c r="A91" i="9"/>
  <c r="A92" i="9"/>
  <c r="A93" i="9"/>
  <c r="A94" i="9"/>
  <c r="A95" i="9"/>
  <c r="A96" i="9"/>
  <c r="A97" i="9"/>
  <c r="A98" i="9"/>
  <c r="A99" i="9"/>
  <c r="A100" i="9"/>
  <c r="A101" i="9"/>
  <c r="A102" i="9"/>
  <c r="A103" i="9"/>
  <c r="A104" i="9"/>
  <c r="A105" i="9"/>
  <c r="A106" i="9"/>
  <c r="A107" i="9"/>
  <c r="A108" i="9"/>
  <c r="A109" i="9"/>
  <c r="A110" i="9"/>
  <c r="A111" i="9"/>
  <c r="A112" i="9"/>
  <c r="A113" i="9"/>
  <c r="A114" i="9"/>
  <c r="A115" i="9"/>
  <c r="A116" i="9"/>
  <c r="A117" i="9"/>
  <c r="A118" i="9"/>
  <c r="A119" i="9"/>
  <c r="A120" i="9"/>
  <c r="A121" i="9"/>
  <c r="A122" i="9"/>
  <c r="A123" i="9"/>
  <c r="C3" i="9"/>
  <c r="D3" i="9"/>
  <c r="F3" i="9"/>
  <c r="C4" i="9"/>
  <c r="D4" i="9"/>
  <c r="F4" i="9"/>
  <c r="C5" i="9"/>
  <c r="D5" i="9"/>
  <c r="F5" i="9"/>
  <c r="C6" i="9"/>
  <c r="D6" i="9"/>
  <c r="F6" i="9"/>
  <c r="C7" i="9"/>
  <c r="D7" i="9"/>
  <c r="F7" i="9"/>
  <c r="C8" i="9"/>
  <c r="D8" i="9"/>
  <c r="F8" i="9"/>
  <c r="C9" i="9"/>
  <c r="D9" i="9"/>
  <c r="F9" i="9"/>
  <c r="C10" i="9"/>
  <c r="D10" i="9"/>
  <c r="F10" i="9"/>
  <c r="C11" i="9"/>
  <c r="D11" i="9"/>
  <c r="F11" i="9"/>
  <c r="C12" i="9"/>
  <c r="D12" i="9"/>
  <c r="F12" i="9"/>
  <c r="C13" i="9"/>
  <c r="D13" i="9"/>
  <c r="F13" i="9"/>
  <c r="C14" i="9"/>
  <c r="D14" i="9"/>
  <c r="F14" i="9"/>
  <c r="C15" i="9"/>
  <c r="D15" i="9"/>
  <c r="F15" i="9"/>
  <c r="C16" i="9"/>
  <c r="D16" i="9"/>
  <c r="F16" i="9"/>
  <c r="C17" i="9"/>
  <c r="D17" i="9"/>
  <c r="F17" i="9"/>
  <c r="C18" i="9"/>
  <c r="D18" i="9"/>
  <c r="F18" i="9"/>
  <c r="C19" i="9"/>
  <c r="D19" i="9"/>
  <c r="F19" i="9"/>
  <c r="C20" i="9"/>
  <c r="D20" i="9"/>
  <c r="F20" i="9"/>
  <c r="C21" i="9"/>
  <c r="D21" i="9"/>
  <c r="F21" i="9"/>
  <c r="C22" i="9"/>
  <c r="D22" i="9"/>
  <c r="F22" i="9"/>
  <c r="C23" i="9"/>
  <c r="D23" i="9"/>
  <c r="F23" i="9"/>
  <c r="C24" i="9"/>
  <c r="D24" i="9"/>
  <c r="F24" i="9"/>
  <c r="C25" i="9"/>
  <c r="D25" i="9"/>
  <c r="F25" i="9"/>
  <c r="C26" i="9"/>
  <c r="D26" i="9"/>
  <c r="F26" i="9"/>
  <c r="C27" i="9"/>
  <c r="D27" i="9"/>
  <c r="F27" i="9"/>
  <c r="C28" i="9"/>
  <c r="D28" i="9"/>
  <c r="F28" i="9"/>
  <c r="C29" i="9"/>
  <c r="D29" i="9"/>
  <c r="F29" i="9"/>
  <c r="C30" i="9"/>
  <c r="D30" i="9"/>
  <c r="F30" i="9"/>
  <c r="C31" i="9"/>
  <c r="D31" i="9"/>
  <c r="F31" i="9"/>
  <c r="C32" i="9"/>
  <c r="D32" i="9"/>
  <c r="F32" i="9"/>
  <c r="C33" i="9"/>
  <c r="D33" i="9"/>
  <c r="F33" i="9"/>
  <c r="C34" i="9"/>
  <c r="D34" i="9"/>
  <c r="F34" i="9"/>
  <c r="C35" i="9"/>
  <c r="D35" i="9"/>
  <c r="F35" i="9"/>
  <c r="C36" i="9"/>
  <c r="D36" i="9"/>
  <c r="F36" i="9"/>
  <c r="C37" i="9"/>
  <c r="D37" i="9"/>
  <c r="F37" i="9"/>
  <c r="C38" i="9"/>
  <c r="D38" i="9"/>
  <c r="F38" i="9"/>
  <c r="C39" i="9"/>
  <c r="D39" i="9"/>
  <c r="F39" i="9"/>
  <c r="C40" i="9"/>
  <c r="D40" i="9"/>
  <c r="F40" i="9"/>
  <c r="C41" i="9"/>
  <c r="D41" i="9"/>
  <c r="F41" i="9"/>
  <c r="C42" i="9"/>
  <c r="D42" i="9"/>
  <c r="F42" i="9"/>
  <c r="C43" i="9"/>
  <c r="D43" i="9"/>
  <c r="F43" i="9"/>
  <c r="C44" i="9"/>
  <c r="D44" i="9"/>
  <c r="F44" i="9"/>
  <c r="C45" i="9"/>
  <c r="D45" i="9"/>
  <c r="F45" i="9"/>
  <c r="C46" i="9"/>
  <c r="D46" i="9"/>
  <c r="F46" i="9"/>
  <c r="C47" i="9"/>
  <c r="D47" i="9"/>
  <c r="F47" i="9"/>
  <c r="C48" i="9"/>
  <c r="D48" i="9"/>
  <c r="F48" i="9"/>
  <c r="C49" i="9"/>
  <c r="D49" i="9"/>
  <c r="F49" i="9"/>
  <c r="C50" i="9"/>
  <c r="D50" i="9"/>
  <c r="F50" i="9"/>
  <c r="C51" i="9"/>
  <c r="D51" i="9"/>
  <c r="F51" i="9"/>
  <c r="C52" i="9"/>
  <c r="D52" i="9"/>
  <c r="F52" i="9"/>
  <c r="C53" i="9"/>
  <c r="D53" i="9"/>
  <c r="F53" i="9"/>
  <c r="C54" i="9"/>
  <c r="D54" i="9"/>
  <c r="F54" i="9"/>
  <c r="C55" i="9"/>
  <c r="D55" i="9"/>
  <c r="F55" i="9"/>
  <c r="C56" i="9"/>
  <c r="D56" i="9"/>
  <c r="F56" i="9"/>
  <c r="C57" i="9"/>
  <c r="D57" i="9"/>
  <c r="F57" i="9"/>
  <c r="C58" i="9"/>
  <c r="D58" i="9"/>
  <c r="F58" i="9"/>
  <c r="C59" i="9"/>
  <c r="D59" i="9"/>
  <c r="F59" i="9"/>
  <c r="C60" i="9"/>
  <c r="D60" i="9"/>
  <c r="F60" i="9"/>
  <c r="C61" i="9"/>
  <c r="D61" i="9"/>
  <c r="F61" i="9"/>
  <c r="C62" i="9"/>
  <c r="D62" i="9"/>
  <c r="F62" i="9"/>
  <c r="C63" i="9"/>
  <c r="D63" i="9"/>
  <c r="F63" i="9"/>
  <c r="C64" i="9"/>
  <c r="D64" i="9"/>
  <c r="F64" i="9"/>
  <c r="C65" i="9"/>
  <c r="D65" i="9"/>
  <c r="F65" i="9"/>
  <c r="C66" i="9"/>
  <c r="D66" i="9"/>
  <c r="F66" i="9"/>
  <c r="C67" i="9"/>
  <c r="D67" i="9"/>
  <c r="F67" i="9"/>
  <c r="C68" i="9"/>
  <c r="D68" i="9"/>
  <c r="F68" i="9"/>
  <c r="C69" i="9"/>
  <c r="D69" i="9"/>
  <c r="F69" i="9"/>
  <c r="C70" i="9"/>
  <c r="D70" i="9"/>
  <c r="F70" i="9"/>
  <c r="C71" i="9"/>
  <c r="D71" i="9"/>
  <c r="F71" i="9"/>
  <c r="C72" i="9"/>
  <c r="D72" i="9"/>
  <c r="F72" i="9"/>
  <c r="C73" i="9"/>
  <c r="D73" i="9"/>
  <c r="F73" i="9"/>
  <c r="C74" i="9"/>
  <c r="D74" i="9"/>
  <c r="F74" i="9"/>
  <c r="C75" i="9"/>
  <c r="D75" i="9"/>
  <c r="F75" i="9"/>
  <c r="C76" i="9"/>
  <c r="D76" i="9"/>
  <c r="F76" i="9"/>
  <c r="C77" i="9"/>
  <c r="D77" i="9"/>
  <c r="F77" i="9"/>
  <c r="C78" i="9"/>
  <c r="D78" i="9"/>
  <c r="F78" i="9"/>
  <c r="C79" i="9"/>
  <c r="D79" i="9"/>
  <c r="F79" i="9"/>
  <c r="C80" i="9"/>
  <c r="D80" i="9"/>
  <c r="F80" i="9"/>
  <c r="C81" i="9"/>
  <c r="D81" i="9"/>
  <c r="F81" i="9"/>
  <c r="C82" i="9"/>
  <c r="D82" i="9"/>
  <c r="F82" i="9"/>
  <c r="C83" i="9"/>
  <c r="D83" i="9"/>
  <c r="F83" i="9"/>
  <c r="C84" i="9"/>
  <c r="D84" i="9"/>
  <c r="F84" i="9"/>
  <c r="C85" i="9"/>
  <c r="D85" i="9"/>
  <c r="F85" i="9"/>
  <c r="C86" i="9"/>
  <c r="D86" i="9"/>
  <c r="F86" i="9"/>
  <c r="C87" i="9"/>
  <c r="D87" i="9"/>
  <c r="F87" i="9"/>
  <c r="C88" i="9"/>
  <c r="D88" i="9"/>
  <c r="F88" i="9"/>
  <c r="C89" i="9"/>
  <c r="D89" i="9"/>
  <c r="F89" i="9"/>
  <c r="C90" i="9"/>
  <c r="D90" i="9"/>
  <c r="F90" i="9"/>
  <c r="C91" i="9"/>
  <c r="D91" i="9"/>
  <c r="F91" i="9"/>
  <c r="C92" i="9"/>
  <c r="D92" i="9"/>
  <c r="F92" i="9"/>
  <c r="C93" i="9"/>
  <c r="D93" i="9"/>
  <c r="F93" i="9"/>
  <c r="C94" i="9"/>
  <c r="D94" i="9"/>
  <c r="F94" i="9"/>
  <c r="C95" i="9"/>
  <c r="D95" i="9"/>
  <c r="F95" i="9"/>
  <c r="C96" i="9"/>
  <c r="D96" i="9"/>
  <c r="F96" i="9"/>
  <c r="C97" i="9"/>
  <c r="D97" i="9"/>
  <c r="F97" i="9"/>
  <c r="C98" i="9"/>
  <c r="D98" i="9"/>
  <c r="F98" i="9"/>
  <c r="C99" i="9"/>
  <c r="D99" i="9"/>
  <c r="F99" i="9"/>
  <c r="C100" i="9"/>
  <c r="D100" i="9"/>
  <c r="F100" i="9"/>
  <c r="C101" i="9"/>
  <c r="D101" i="9"/>
  <c r="F101" i="9"/>
  <c r="C102" i="9"/>
  <c r="D102" i="9"/>
  <c r="F102" i="9"/>
  <c r="C103" i="9"/>
  <c r="D103" i="9"/>
  <c r="F103" i="9"/>
  <c r="C104" i="9"/>
  <c r="D104" i="9"/>
  <c r="F104" i="9"/>
  <c r="C105" i="9"/>
  <c r="D105" i="9"/>
  <c r="F105" i="9"/>
  <c r="C106" i="9"/>
  <c r="D106" i="9"/>
  <c r="F106" i="9"/>
  <c r="C107" i="9"/>
  <c r="D107" i="9"/>
  <c r="F107" i="9"/>
  <c r="C108" i="9"/>
  <c r="D108" i="9"/>
  <c r="F108" i="9"/>
  <c r="C109" i="9"/>
  <c r="D109" i="9"/>
  <c r="F109" i="9"/>
  <c r="C110" i="9"/>
  <c r="D110" i="9"/>
  <c r="F110" i="9"/>
  <c r="C111" i="9"/>
  <c r="D111" i="9"/>
  <c r="F111" i="9"/>
  <c r="C112" i="9"/>
  <c r="D112" i="9"/>
  <c r="F112" i="9"/>
  <c r="C113" i="9"/>
  <c r="D113" i="9"/>
  <c r="F113" i="9"/>
  <c r="C114" i="9"/>
  <c r="D114" i="9"/>
  <c r="F114" i="9"/>
  <c r="C115" i="9"/>
  <c r="D115" i="9"/>
  <c r="F115" i="9"/>
  <c r="C116" i="9"/>
  <c r="D116" i="9"/>
  <c r="F116" i="9"/>
  <c r="C117" i="9"/>
  <c r="D117" i="9"/>
  <c r="F117" i="9"/>
  <c r="C118" i="9"/>
  <c r="D118" i="9"/>
  <c r="F118" i="9"/>
  <c r="C119" i="9"/>
  <c r="D119" i="9"/>
  <c r="F119" i="9"/>
  <c r="C120" i="9"/>
  <c r="D120" i="9"/>
  <c r="F120" i="9"/>
  <c r="C121" i="9"/>
  <c r="D121" i="9"/>
  <c r="F121" i="9"/>
  <c r="C122" i="9"/>
  <c r="D122" i="9"/>
  <c r="F122" i="9"/>
  <c r="C123" i="9"/>
  <c r="D123" i="9"/>
  <c r="F123" i="9"/>
  <c r="L70" i="6"/>
  <c r="T70" i="6" s="1"/>
  <c r="V70" i="6" s="1"/>
  <c r="J20" i="6"/>
  <c r="J21" i="6"/>
  <c r="J22" i="6"/>
  <c r="J23" i="6"/>
  <c r="J24" i="6"/>
  <c r="J25" i="6"/>
  <c r="J26" i="6"/>
  <c r="J27" i="6"/>
  <c r="J28" i="6"/>
  <c r="J29" i="6"/>
  <c r="J30" i="6"/>
  <c r="J31" i="6"/>
  <c r="J32" i="6"/>
  <c r="J33" i="6"/>
  <c r="J34" i="6"/>
  <c r="J35" i="6"/>
  <c r="J36" i="6"/>
  <c r="J37" i="6"/>
  <c r="J38" i="6"/>
  <c r="J39" i="6"/>
  <c r="J40" i="6"/>
  <c r="J41" i="6"/>
  <c r="J42" i="6"/>
  <c r="J43" i="6"/>
  <c r="J44" i="6"/>
  <c r="J45" i="6"/>
  <c r="J46" i="6"/>
  <c r="J47" i="6"/>
  <c r="J48" i="6"/>
  <c r="J49" i="6"/>
  <c r="J50" i="6"/>
  <c r="J51" i="6"/>
  <c r="J52" i="6"/>
  <c r="J53" i="6"/>
  <c r="J54" i="6"/>
  <c r="J55" i="6"/>
  <c r="J56" i="6"/>
  <c r="J57" i="6"/>
  <c r="J58" i="6"/>
  <c r="J59" i="6"/>
  <c r="J60" i="6"/>
  <c r="J61" i="6"/>
  <c r="J62" i="6"/>
  <c r="J63" i="6"/>
  <c r="J64" i="6"/>
  <c r="J65" i="6"/>
  <c r="J66" i="6"/>
  <c r="J67" i="6"/>
  <c r="J68" i="6"/>
  <c r="J69" i="6"/>
  <c r="J70" i="6"/>
  <c r="J71" i="6"/>
  <c r="J72" i="6"/>
  <c r="J73" i="6"/>
  <c r="J74" i="6"/>
  <c r="J75" i="6"/>
  <c r="J76" i="6"/>
  <c r="J77" i="6"/>
  <c r="J78" i="6"/>
  <c r="J79" i="6"/>
  <c r="J80" i="6"/>
  <c r="J81" i="6"/>
  <c r="J82" i="6"/>
  <c r="J83" i="6"/>
  <c r="J84" i="6"/>
  <c r="J85" i="6"/>
  <c r="J86" i="6"/>
  <c r="J87" i="6"/>
  <c r="J88" i="6"/>
  <c r="J89" i="6"/>
  <c r="J90" i="6"/>
  <c r="J91" i="6"/>
  <c r="J92" i="6"/>
  <c r="J93" i="6"/>
  <c r="J94" i="6"/>
  <c r="J95" i="6"/>
  <c r="J96" i="6"/>
  <c r="J97" i="6"/>
  <c r="J98" i="6"/>
  <c r="J99" i="6"/>
  <c r="J100" i="6"/>
  <c r="J101" i="6"/>
  <c r="J102" i="6"/>
  <c r="J103" i="6"/>
  <c r="J104" i="6"/>
  <c r="J105" i="6"/>
  <c r="J106" i="6"/>
  <c r="J107" i="6"/>
  <c r="J108" i="6"/>
  <c r="J109" i="6"/>
  <c r="J110" i="6"/>
  <c r="J111" i="6"/>
  <c r="J112" i="6"/>
  <c r="J113" i="6"/>
  <c r="J114" i="6"/>
  <c r="J115" i="6"/>
  <c r="J116" i="6"/>
  <c r="J117" i="6"/>
  <c r="J118" i="6"/>
  <c r="J119" i="6"/>
  <c r="J120" i="6"/>
  <c r="J121" i="6"/>
  <c r="J122" i="6"/>
  <c r="J123" i="6"/>
  <c r="J124" i="6"/>
  <c r="J125" i="6"/>
  <c r="J126" i="6"/>
  <c r="J127" i="6"/>
  <c r="J128" i="6"/>
  <c r="J129" i="6"/>
  <c r="J130" i="6"/>
  <c r="J131" i="6"/>
  <c r="J132" i="6"/>
  <c r="J133" i="6"/>
  <c r="J134" i="6"/>
  <c r="J135" i="6"/>
  <c r="J136" i="6"/>
  <c r="J137" i="6"/>
  <c r="J138" i="6"/>
  <c r="J139" i="6"/>
  <c r="J140" i="6"/>
  <c r="A133" i="10"/>
  <c r="C133" i="10"/>
  <c r="D133" i="10"/>
  <c r="C128" i="22" s="1"/>
  <c r="E133" i="10"/>
  <c r="D128" i="22" s="1"/>
  <c r="F133" i="10"/>
  <c r="A134" i="10"/>
  <c r="C134" i="10"/>
  <c r="D134" i="10"/>
  <c r="G121" i="9" s="1"/>
  <c r="E134" i="10"/>
  <c r="D129" i="22" s="1"/>
  <c r="F134" i="10"/>
  <c r="A135" i="10"/>
  <c r="C135" i="10"/>
  <c r="D135" i="10"/>
  <c r="C130" i="22" s="1"/>
  <c r="E135" i="10"/>
  <c r="D130" i="22" s="1"/>
  <c r="F135" i="10"/>
  <c r="A136" i="10"/>
  <c r="C136" i="10"/>
  <c r="D136" i="10"/>
  <c r="C131" i="22" s="1"/>
  <c r="E136" i="10"/>
  <c r="D131" i="22" s="1"/>
  <c r="F136" i="10"/>
  <c r="G136" i="10" s="1"/>
  <c r="A16" i="10"/>
  <c r="C16" i="10"/>
  <c r="D16" i="10"/>
  <c r="G3" i="9" s="1"/>
  <c r="E16" i="10"/>
  <c r="F16" i="10"/>
  <c r="A17" i="10"/>
  <c r="C17" i="10"/>
  <c r="D17" i="10"/>
  <c r="C12" i="22" s="1"/>
  <c r="E17" i="10"/>
  <c r="D12" i="22" s="1"/>
  <c r="F17" i="10"/>
  <c r="A18" i="10"/>
  <c r="C18" i="10"/>
  <c r="D18" i="10"/>
  <c r="E18" i="10"/>
  <c r="D13" i="22" s="1"/>
  <c r="F18" i="10"/>
  <c r="A19" i="10"/>
  <c r="C19" i="10"/>
  <c r="D19" i="10"/>
  <c r="C14" i="22" s="1"/>
  <c r="E19" i="10"/>
  <c r="D14" i="22" s="1"/>
  <c r="F19" i="10"/>
  <c r="A20" i="10"/>
  <c r="C20" i="10"/>
  <c r="D20" i="10"/>
  <c r="E20" i="10"/>
  <c r="D15" i="22" s="1"/>
  <c r="F20" i="10"/>
  <c r="A21" i="10"/>
  <c r="C21" i="10"/>
  <c r="D21" i="10"/>
  <c r="E21" i="10"/>
  <c r="D16" i="22" s="1"/>
  <c r="F21" i="10"/>
  <c r="G21" i="10" s="1"/>
  <c r="A22" i="10"/>
  <c r="C22" i="10"/>
  <c r="D22" i="10"/>
  <c r="C17" i="22" s="1"/>
  <c r="E22" i="10"/>
  <c r="D17" i="22" s="1"/>
  <c r="F22" i="10"/>
  <c r="A23" i="10"/>
  <c r="C23" i="10"/>
  <c r="D23" i="10"/>
  <c r="E23" i="10"/>
  <c r="F23" i="10"/>
  <c r="A24" i="10"/>
  <c r="C24" i="10"/>
  <c r="D24" i="10"/>
  <c r="C19" i="22" s="1"/>
  <c r="E24" i="10"/>
  <c r="D19" i="22" s="1"/>
  <c r="F24" i="10"/>
  <c r="A25" i="10"/>
  <c r="C25" i="10"/>
  <c r="D25" i="10"/>
  <c r="E25" i="10"/>
  <c r="D20" i="22" s="1"/>
  <c r="F25" i="10"/>
  <c r="A26" i="10"/>
  <c r="C26" i="10"/>
  <c r="D26" i="10"/>
  <c r="C21" i="22" s="1"/>
  <c r="E26" i="10"/>
  <c r="D21" i="22"/>
  <c r="F26" i="10"/>
  <c r="A27" i="10"/>
  <c r="C27" i="10"/>
  <c r="D27" i="10"/>
  <c r="C22" i="22" s="1"/>
  <c r="E27" i="10"/>
  <c r="F27" i="10"/>
  <c r="A28" i="10"/>
  <c r="C28" i="10"/>
  <c r="D28" i="10"/>
  <c r="C23" i="22" s="1"/>
  <c r="E28" i="10"/>
  <c r="D23" i="22" s="1"/>
  <c r="F28" i="10"/>
  <c r="A29" i="10"/>
  <c r="C29" i="10"/>
  <c r="D29" i="10"/>
  <c r="C24" i="22" s="1"/>
  <c r="E29" i="10"/>
  <c r="D24" i="22" s="1"/>
  <c r="F29" i="10"/>
  <c r="G29" i="10" s="1"/>
  <c r="A30" i="10"/>
  <c r="C30" i="10"/>
  <c r="D30" i="10"/>
  <c r="C25" i="22" s="1"/>
  <c r="E30" i="10"/>
  <c r="D25" i="22" s="1"/>
  <c r="F30" i="10"/>
  <c r="A31" i="10"/>
  <c r="C31" i="10"/>
  <c r="D31" i="10"/>
  <c r="G18" i="9" s="1"/>
  <c r="F16" i="18" s="1"/>
  <c r="E31" i="10"/>
  <c r="D26" i="22" s="1"/>
  <c r="F31" i="10"/>
  <c r="A32" i="10"/>
  <c r="C32" i="10"/>
  <c r="D32" i="10"/>
  <c r="G19" i="9" s="1"/>
  <c r="E32" i="10"/>
  <c r="F32" i="10"/>
  <c r="A33" i="10"/>
  <c r="C33" i="10"/>
  <c r="D33" i="10"/>
  <c r="C28" i="22" s="1"/>
  <c r="E33" i="10"/>
  <c r="D28" i="22" s="1"/>
  <c r="F33" i="10"/>
  <c r="A34" i="10"/>
  <c r="D34" i="10"/>
  <c r="C29" i="22"/>
  <c r="E34" i="10"/>
  <c r="D29" i="22" s="1"/>
  <c r="F34" i="10"/>
  <c r="A35" i="10"/>
  <c r="D35" i="10"/>
  <c r="E35" i="10"/>
  <c r="D30" i="22" s="1"/>
  <c r="F35" i="10"/>
  <c r="A36" i="10"/>
  <c r="C36" i="10"/>
  <c r="D36" i="10"/>
  <c r="C31" i="22" s="1"/>
  <c r="E36" i="10"/>
  <c r="D31" i="22" s="1"/>
  <c r="F36" i="10"/>
  <c r="A37" i="10"/>
  <c r="C37" i="10"/>
  <c r="D37" i="10"/>
  <c r="G24" i="9" s="1"/>
  <c r="F21" i="18" s="1"/>
  <c r="E37" i="10"/>
  <c r="D32" i="22" s="1"/>
  <c r="F37" i="10"/>
  <c r="A38" i="10"/>
  <c r="C38" i="10"/>
  <c r="D38" i="10"/>
  <c r="E38" i="10"/>
  <c r="D33" i="22" s="1"/>
  <c r="F38" i="10"/>
  <c r="A39" i="10"/>
  <c r="C39" i="10"/>
  <c r="D39" i="10"/>
  <c r="C34" i="22" s="1"/>
  <c r="E39" i="10"/>
  <c r="D34" i="22" s="1"/>
  <c r="F39" i="10"/>
  <c r="A40" i="10"/>
  <c r="C40" i="10"/>
  <c r="D40" i="10"/>
  <c r="E40" i="10"/>
  <c r="D35" i="22" s="1"/>
  <c r="F40" i="10"/>
  <c r="A41" i="10"/>
  <c r="C41" i="10"/>
  <c r="D41" i="10"/>
  <c r="C36" i="22" s="1"/>
  <c r="E41" i="10"/>
  <c r="D36" i="22" s="1"/>
  <c r="F41" i="10"/>
  <c r="A42" i="10"/>
  <c r="C42" i="10"/>
  <c r="D42" i="10"/>
  <c r="G29" i="9" s="1"/>
  <c r="E42" i="10"/>
  <c r="D37" i="22" s="1"/>
  <c r="F42" i="10"/>
  <c r="A43" i="10"/>
  <c r="C43" i="10"/>
  <c r="D43" i="10"/>
  <c r="C38" i="22" s="1"/>
  <c r="E43" i="10"/>
  <c r="D38" i="22" s="1"/>
  <c r="F43" i="10"/>
  <c r="G43" i="10" s="1"/>
  <c r="A44" i="10"/>
  <c r="C44" i="10"/>
  <c r="D44" i="10"/>
  <c r="C39" i="22" s="1"/>
  <c r="E44" i="10"/>
  <c r="D39" i="22" s="1"/>
  <c r="F44" i="10"/>
  <c r="A45" i="10"/>
  <c r="C45" i="10"/>
  <c r="D45" i="10"/>
  <c r="C40" i="22" s="1"/>
  <c r="E45" i="10"/>
  <c r="D40" i="22" s="1"/>
  <c r="F45" i="10"/>
  <c r="A46" i="10"/>
  <c r="C46" i="10"/>
  <c r="D46" i="10"/>
  <c r="E46" i="10"/>
  <c r="D41" i="22" s="1"/>
  <c r="F46" i="10"/>
  <c r="A47" i="10"/>
  <c r="C47" i="10"/>
  <c r="D47" i="10"/>
  <c r="C42" i="22" s="1"/>
  <c r="E47" i="10"/>
  <c r="D42" i="22" s="1"/>
  <c r="F47" i="10"/>
  <c r="A48" i="10"/>
  <c r="C48" i="10"/>
  <c r="D48" i="10"/>
  <c r="G35" i="9" s="1"/>
  <c r="E48" i="10"/>
  <c r="F48" i="10"/>
  <c r="A49" i="10"/>
  <c r="C49" i="10"/>
  <c r="D49" i="10"/>
  <c r="E49" i="10"/>
  <c r="D44" i="22" s="1"/>
  <c r="F49" i="10"/>
  <c r="A50" i="10"/>
  <c r="C50" i="10"/>
  <c r="D50" i="10"/>
  <c r="G37" i="9" s="1"/>
  <c r="E50" i="10"/>
  <c r="D45" i="22" s="1"/>
  <c r="F50" i="10"/>
  <c r="A51" i="10"/>
  <c r="C51" i="10"/>
  <c r="D51" i="10"/>
  <c r="C46" i="22" s="1"/>
  <c r="E51" i="10"/>
  <c r="D46" i="22" s="1"/>
  <c r="F51" i="10"/>
  <c r="A52" i="10"/>
  <c r="C52" i="10"/>
  <c r="D52" i="10"/>
  <c r="G39" i="9" s="1"/>
  <c r="E52" i="10"/>
  <c r="D47" i="22" s="1"/>
  <c r="F52" i="10"/>
  <c r="A53" i="10"/>
  <c r="C53" i="10"/>
  <c r="D53" i="10"/>
  <c r="C48" i="22" s="1"/>
  <c r="E53" i="10"/>
  <c r="D48" i="22" s="1"/>
  <c r="F53" i="10"/>
  <c r="A54" i="10"/>
  <c r="C54" i="10"/>
  <c r="D54" i="10"/>
  <c r="E54" i="10"/>
  <c r="D49" i="22" s="1"/>
  <c r="F54" i="10"/>
  <c r="A55" i="10"/>
  <c r="C55" i="10"/>
  <c r="D55" i="10"/>
  <c r="C50" i="22" s="1"/>
  <c r="E55" i="10"/>
  <c r="D50" i="22" s="1"/>
  <c r="F55" i="10"/>
  <c r="A56" i="10"/>
  <c r="C56" i="10"/>
  <c r="D56" i="10"/>
  <c r="C51" i="22" s="1"/>
  <c r="E56" i="10"/>
  <c r="D51" i="22" s="1"/>
  <c r="F56" i="10"/>
  <c r="A57" i="10"/>
  <c r="C57" i="10"/>
  <c r="D57" i="10"/>
  <c r="G44" i="9" s="1"/>
  <c r="E57" i="10"/>
  <c r="D52" i="22" s="1"/>
  <c r="F57" i="10"/>
  <c r="A58" i="10"/>
  <c r="C58" i="10"/>
  <c r="D58" i="10"/>
  <c r="C53" i="22" s="1"/>
  <c r="E58" i="10"/>
  <c r="D53" i="22" s="1"/>
  <c r="F58" i="10"/>
  <c r="A59" i="10"/>
  <c r="C59" i="10"/>
  <c r="D59" i="10"/>
  <c r="C54" i="22" s="1"/>
  <c r="E59" i="10"/>
  <c r="D54" i="22" s="1"/>
  <c r="F59" i="10"/>
  <c r="G59" i="10" s="1"/>
  <c r="A60" i="10"/>
  <c r="C60" i="10"/>
  <c r="D60" i="10"/>
  <c r="C55" i="22" s="1"/>
  <c r="E60" i="10"/>
  <c r="D55" i="22" s="1"/>
  <c r="F60" i="10"/>
  <c r="A61" i="10"/>
  <c r="C61" i="10"/>
  <c r="D61" i="10"/>
  <c r="C56" i="22" s="1"/>
  <c r="E61" i="10"/>
  <c r="D56" i="22" s="1"/>
  <c r="F61" i="10"/>
  <c r="A62" i="10"/>
  <c r="C62" i="10"/>
  <c r="D62" i="10"/>
  <c r="C57" i="22" s="1"/>
  <c r="E62" i="10"/>
  <c r="D57" i="22" s="1"/>
  <c r="F62" i="10"/>
  <c r="A63" i="10"/>
  <c r="C63" i="10"/>
  <c r="D63" i="10"/>
  <c r="C58" i="22" s="1"/>
  <c r="E63" i="10"/>
  <c r="D58" i="22" s="1"/>
  <c r="F63" i="10"/>
  <c r="A64" i="10"/>
  <c r="C64" i="10"/>
  <c r="D64" i="10"/>
  <c r="C59" i="22" s="1"/>
  <c r="E64" i="10"/>
  <c r="D59" i="22" s="1"/>
  <c r="F64" i="10"/>
  <c r="A65" i="10"/>
  <c r="C65" i="10"/>
  <c r="D65" i="10"/>
  <c r="C60" i="22" s="1"/>
  <c r="E65" i="10"/>
  <c r="D60" i="22" s="1"/>
  <c r="F65" i="10"/>
  <c r="A66" i="10"/>
  <c r="C66" i="10"/>
  <c r="D66" i="10"/>
  <c r="G53" i="9" s="1"/>
  <c r="E66" i="10"/>
  <c r="D61" i="22" s="1"/>
  <c r="F66" i="10"/>
  <c r="A67" i="10"/>
  <c r="C67" i="10"/>
  <c r="D67" i="10"/>
  <c r="C62" i="22" s="1"/>
  <c r="E67" i="10"/>
  <c r="D62" i="22" s="1"/>
  <c r="F67" i="10"/>
  <c r="A68" i="10"/>
  <c r="C68" i="10"/>
  <c r="D68" i="10"/>
  <c r="C63" i="22" s="1"/>
  <c r="E68" i="10"/>
  <c r="D63" i="22" s="1"/>
  <c r="F68" i="10"/>
  <c r="A69" i="10"/>
  <c r="C69" i="10"/>
  <c r="D69" i="10"/>
  <c r="G56" i="9" s="1"/>
  <c r="E69" i="10"/>
  <c r="D64" i="22" s="1"/>
  <c r="F69" i="10"/>
  <c r="A70" i="10"/>
  <c r="C70" i="10"/>
  <c r="D70" i="10"/>
  <c r="E70" i="10"/>
  <c r="D65" i="22" s="1"/>
  <c r="F70" i="10"/>
  <c r="A71" i="10"/>
  <c r="C71" i="10"/>
  <c r="D71" i="10"/>
  <c r="C66" i="22" s="1"/>
  <c r="E71" i="10"/>
  <c r="D66" i="22" s="1"/>
  <c r="F71" i="10"/>
  <c r="A72" i="10"/>
  <c r="C72" i="10"/>
  <c r="D72" i="10"/>
  <c r="C67" i="22" s="1"/>
  <c r="E72" i="10"/>
  <c r="D67" i="22" s="1"/>
  <c r="F72" i="10"/>
  <c r="A73" i="10"/>
  <c r="C73" i="10"/>
  <c r="D73" i="10"/>
  <c r="E73" i="10"/>
  <c r="D68" i="22" s="1"/>
  <c r="F73" i="10"/>
  <c r="A74" i="10"/>
  <c r="C74" i="10"/>
  <c r="D74" i="10"/>
  <c r="C69" i="22" s="1"/>
  <c r="E74" i="10"/>
  <c r="D69" i="22" s="1"/>
  <c r="F74" i="10"/>
  <c r="A75" i="10"/>
  <c r="C75" i="10"/>
  <c r="D75" i="10"/>
  <c r="C70" i="22" s="1"/>
  <c r="E75" i="10"/>
  <c r="F75" i="10"/>
  <c r="A76" i="10"/>
  <c r="C76" i="10"/>
  <c r="D76" i="10"/>
  <c r="C71" i="22" s="1"/>
  <c r="E76" i="10"/>
  <c r="F76" i="10"/>
  <c r="A77" i="10"/>
  <c r="C77" i="10"/>
  <c r="D77" i="10"/>
  <c r="C72" i="22" s="1"/>
  <c r="E77" i="10"/>
  <c r="D72" i="22" s="1"/>
  <c r="F77" i="10"/>
  <c r="A78" i="10"/>
  <c r="C78" i="10"/>
  <c r="D78" i="10"/>
  <c r="C73" i="22"/>
  <c r="E78" i="10"/>
  <c r="D73" i="22" s="1"/>
  <c r="F78" i="10"/>
  <c r="A79" i="10"/>
  <c r="C79" i="10"/>
  <c r="D79" i="10"/>
  <c r="C74" i="22" s="1"/>
  <c r="E79" i="10"/>
  <c r="D74" i="22" s="1"/>
  <c r="F79" i="10"/>
  <c r="A80" i="10"/>
  <c r="C80" i="10"/>
  <c r="D80" i="10"/>
  <c r="C75" i="22" s="1"/>
  <c r="E80" i="10"/>
  <c r="D75" i="22" s="1"/>
  <c r="F80" i="10"/>
  <c r="A81" i="10"/>
  <c r="C81" i="10"/>
  <c r="D81" i="10"/>
  <c r="C76" i="22" s="1"/>
  <c r="E81" i="10"/>
  <c r="D76" i="22" s="1"/>
  <c r="F81" i="10"/>
  <c r="A82" i="10"/>
  <c r="C82" i="10"/>
  <c r="D82" i="10"/>
  <c r="C77" i="22" s="1"/>
  <c r="E82" i="10"/>
  <c r="F82" i="10"/>
  <c r="A83" i="10"/>
  <c r="C83" i="10"/>
  <c r="D83" i="10"/>
  <c r="C78" i="22" s="1"/>
  <c r="E83" i="10"/>
  <c r="D78" i="22" s="1"/>
  <c r="F83" i="10"/>
  <c r="A84" i="10"/>
  <c r="C84" i="10"/>
  <c r="D84" i="10"/>
  <c r="C79" i="22" s="1"/>
  <c r="E84" i="10"/>
  <c r="D79" i="22" s="1"/>
  <c r="F84" i="10"/>
  <c r="A85" i="10"/>
  <c r="C85" i="10"/>
  <c r="D85" i="10"/>
  <c r="C80" i="22" s="1"/>
  <c r="E85" i="10"/>
  <c r="D80" i="22" s="1"/>
  <c r="F85" i="10"/>
  <c r="A86" i="10"/>
  <c r="C86" i="10"/>
  <c r="D86" i="10"/>
  <c r="C81" i="22" s="1"/>
  <c r="E86" i="10"/>
  <c r="D81" i="22" s="1"/>
  <c r="F86" i="10"/>
  <c r="A87" i="10"/>
  <c r="C87" i="10"/>
  <c r="D87" i="10"/>
  <c r="C82" i="22" s="1"/>
  <c r="E87" i="10"/>
  <c r="D82" i="22" s="1"/>
  <c r="F87" i="10"/>
  <c r="A88" i="10"/>
  <c r="C88" i="10"/>
  <c r="D88" i="10"/>
  <c r="C83" i="22" s="1"/>
  <c r="E88" i="10"/>
  <c r="D83" i="22" s="1"/>
  <c r="F88" i="10"/>
  <c r="A89" i="10"/>
  <c r="C89" i="10"/>
  <c r="D89" i="10"/>
  <c r="C84" i="22" s="1"/>
  <c r="E89" i="10"/>
  <c r="D84" i="22" s="1"/>
  <c r="F89" i="10"/>
  <c r="A90" i="10"/>
  <c r="C90" i="10"/>
  <c r="D90" i="10"/>
  <c r="C85" i="22" s="1"/>
  <c r="E90" i="10"/>
  <c r="D85" i="22" s="1"/>
  <c r="F90" i="10"/>
  <c r="A91" i="10"/>
  <c r="C91" i="10"/>
  <c r="D91" i="10"/>
  <c r="C86" i="22" s="1"/>
  <c r="E91" i="10"/>
  <c r="F91" i="10"/>
  <c r="A92" i="10"/>
  <c r="C92" i="10"/>
  <c r="D92" i="10"/>
  <c r="C87" i="22" s="1"/>
  <c r="E92" i="10"/>
  <c r="D87" i="22" s="1"/>
  <c r="F92" i="10"/>
  <c r="G92" i="10" s="1"/>
  <c r="A93" i="10"/>
  <c r="C93" i="10"/>
  <c r="D93" i="10"/>
  <c r="G80" i="9" s="1"/>
  <c r="E93" i="10"/>
  <c r="D88" i="22" s="1"/>
  <c r="F93" i="10"/>
  <c r="A94" i="10"/>
  <c r="C94" i="10"/>
  <c r="D94" i="10"/>
  <c r="C89" i="22" s="1"/>
  <c r="E94" i="10"/>
  <c r="D89" i="22" s="1"/>
  <c r="F94" i="10"/>
  <c r="A95" i="10"/>
  <c r="C95" i="10"/>
  <c r="D95" i="10"/>
  <c r="G82" i="9" s="1"/>
  <c r="E95" i="10"/>
  <c r="D90" i="22" s="1"/>
  <c r="F95" i="10"/>
  <c r="A96" i="10"/>
  <c r="C96" i="10"/>
  <c r="D96" i="10"/>
  <c r="C91" i="22" s="1"/>
  <c r="E96" i="10"/>
  <c r="F96" i="10"/>
  <c r="A97" i="10"/>
  <c r="C97" i="10"/>
  <c r="D97" i="10"/>
  <c r="C92" i="22"/>
  <c r="E97" i="10"/>
  <c r="D92" i="22" s="1"/>
  <c r="F97" i="10"/>
  <c r="A98" i="10"/>
  <c r="C98" i="10"/>
  <c r="D98" i="10"/>
  <c r="C93" i="22" s="1"/>
  <c r="E98" i="10"/>
  <c r="D93" i="22" s="1"/>
  <c r="F98" i="10"/>
  <c r="A99" i="10"/>
  <c r="C99" i="10"/>
  <c r="D99" i="10"/>
  <c r="C94" i="22" s="1"/>
  <c r="E99" i="10"/>
  <c r="D94" i="22" s="1"/>
  <c r="F99" i="10"/>
  <c r="A100" i="10"/>
  <c r="C100" i="10"/>
  <c r="D100" i="10"/>
  <c r="C95" i="22" s="1"/>
  <c r="E100" i="10"/>
  <c r="D95" i="22" s="1"/>
  <c r="F100" i="10"/>
  <c r="A101" i="10"/>
  <c r="C101" i="10"/>
  <c r="D101" i="10"/>
  <c r="C96" i="22" s="1"/>
  <c r="E101" i="10"/>
  <c r="D96" i="22" s="1"/>
  <c r="F101" i="10"/>
  <c r="A102" i="10"/>
  <c r="C102" i="10"/>
  <c r="D102" i="10"/>
  <c r="E102" i="10"/>
  <c r="D97" i="22" s="1"/>
  <c r="F102" i="10"/>
  <c r="A103" i="10"/>
  <c r="C103" i="10"/>
  <c r="D103" i="10"/>
  <c r="C98" i="22" s="1"/>
  <c r="E103" i="10"/>
  <c r="D98" i="22" s="1"/>
  <c r="F103" i="10"/>
  <c r="G103" i="10" s="1"/>
  <c r="A104" i="10"/>
  <c r="C104" i="10"/>
  <c r="D104" i="10"/>
  <c r="C99" i="22" s="1"/>
  <c r="E104" i="10"/>
  <c r="D99" i="22" s="1"/>
  <c r="F104" i="10"/>
  <c r="A105" i="10"/>
  <c r="C105" i="10"/>
  <c r="D105" i="10"/>
  <c r="C100" i="22" s="1"/>
  <c r="E105" i="10"/>
  <c r="D100" i="22" s="1"/>
  <c r="F105" i="10"/>
  <c r="G105" i="10" s="1"/>
  <c r="A106" i="10"/>
  <c r="C106" i="10"/>
  <c r="D106" i="10"/>
  <c r="C101" i="22" s="1"/>
  <c r="E106" i="10"/>
  <c r="F106" i="10"/>
  <c r="A107" i="10"/>
  <c r="C107" i="10"/>
  <c r="D107" i="10"/>
  <c r="C102" i="22" s="1"/>
  <c r="E107" i="10"/>
  <c r="F107" i="10"/>
  <c r="A108" i="10"/>
  <c r="C108" i="10"/>
  <c r="D108" i="10"/>
  <c r="C103" i="22" s="1"/>
  <c r="E108" i="10"/>
  <c r="D103" i="22" s="1"/>
  <c r="F108" i="10"/>
  <c r="A109" i="10"/>
  <c r="C109" i="10"/>
  <c r="D109" i="10"/>
  <c r="C104" i="22" s="1"/>
  <c r="E109" i="10"/>
  <c r="D104" i="22" s="1"/>
  <c r="F109" i="10"/>
  <c r="A110" i="10"/>
  <c r="C110" i="10"/>
  <c r="D110" i="10"/>
  <c r="C105" i="22" s="1"/>
  <c r="E110" i="10"/>
  <c r="D105" i="22" s="1"/>
  <c r="F110" i="10"/>
  <c r="A111" i="10"/>
  <c r="C111" i="10"/>
  <c r="D111" i="10"/>
  <c r="C106" i="22" s="1"/>
  <c r="E111" i="10"/>
  <c r="F111" i="10"/>
  <c r="G111" i="10" s="1"/>
  <c r="A112" i="10"/>
  <c r="C112" i="10"/>
  <c r="D112" i="10"/>
  <c r="C107" i="22" s="1"/>
  <c r="E112" i="10"/>
  <c r="D107" i="22" s="1"/>
  <c r="F112" i="10"/>
  <c r="A113" i="10"/>
  <c r="C113" i="10"/>
  <c r="D113" i="10"/>
  <c r="C108" i="22" s="1"/>
  <c r="E113" i="10"/>
  <c r="D108" i="22" s="1"/>
  <c r="F113" i="10"/>
  <c r="G113" i="10" s="1"/>
  <c r="A114" i="10"/>
  <c r="C114" i="10"/>
  <c r="D114" i="10"/>
  <c r="C109" i="22" s="1"/>
  <c r="E114" i="10"/>
  <c r="D109" i="22" s="1"/>
  <c r="F114" i="10"/>
  <c r="A115" i="10"/>
  <c r="C115" i="10"/>
  <c r="D115" i="10"/>
  <c r="C110" i="22" s="1"/>
  <c r="E115" i="10"/>
  <c r="D110" i="22" s="1"/>
  <c r="F115" i="10"/>
  <c r="A116" i="10"/>
  <c r="C116" i="10"/>
  <c r="D116" i="10"/>
  <c r="C111" i="22" s="1"/>
  <c r="E116" i="10"/>
  <c r="D111" i="22" s="1"/>
  <c r="F116" i="10"/>
  <c r="A117" i="10"/>
  <c r="C117" i="10"/>
  <c r="D117" i="10"/>
  <c r="C112" i="22" s="1"/>
  <c r="E117" i="10"/>
  <c r="D112" i="22" s="1"/>
  <c r="F117" i="10"/>
  <c r="A118" i="10"/>
  <c r="C118" i="10"/>
  <c r="D118" i="10"/>
  <c r="C113" i="22" s="1"/>
  <c r="E118" i="10"/>
  <c r="D113" i="22" s="1"/>
  <c r="F118" i="10"/>
  <c r="A119" i="10"/>
  <c r="C119" i="10"/>
  <c r="D119" i="10"/>
  <c r="C114" i="22" s="1"/>
  <c r="E119" i="10"/>
  <c r="D114" i="22" s="1"/>
  <c r="F119" i="10"/>
  <c r="A120" i="10"/>
  <c r="C120" i="10"/>
  <c r="D120" i="10"/>
  <c r="C115" i="22" s="1"/>
  <c r="E120" i="10"/>
  <c r="D115" i="22" s="1"/>
  <c r="F120" i="10"/>
  <c r="A121" i="10"/>
  <c r="C121" i="10"/>
  <c r="D121" i="10"/>
  <c r="C116" i="22" s="1"/>
  <c r="E121" i="10"/>
  <c r="D116" i="22" s="1"/>
  <c r="F121" i="10"/>
  <c r="G121" i="10" s="1"/>
  <c r="A122" i="10"/>
  <c r="C122" i="10"/>
  <c r="D122" i="10"/>
  <c r="C117" i="22" s="1"/>
  <c r="E122" i="10"/>
  <c r="F122" i="10"/>
  <c r="A123" i="10"/>
  <c r="C123" i="10"/>
  <c r="D123" i="10"/>
  <c r="C118" i="22" s="1"/>
  <c r="E123" i="10"/>
  <c r="F123" i="10"/>
  <c r="A124" i="10"/>
  <c r="C124" i="10"/>
  <c r="D124" i="10"/>
  <c r="C119" i="22" s="1"/>
  <c r="E124" i="10"/>
  <c r="D119" i="22" s="1"/>
  <c r="F124" i="10"/>
  <c r="A125" i="10"/>
  <c r="C125" i="10"/>
  <c r="D125" i="10"/>
  <c r="C120" i="22" s="1"/>
  <c r="E125" i="10"/>
  <c r="D120" i="22" s="1"/>
  <c r="F125" i="10"/>
  <c r="A126" i="10"/>
  <c r="C126" i="10"/>
  <c r="D126" i="10"/>
  <c r="C121" i="22" s="1"/>
  <c r="E126" i="10"/>
  <c r="D121" i="22" s="1"/>
  <c r="F126" i="10"/>
  <c r="A127" i="10"/>
  <c r="C127" i="10"/>
  <c r="D127" i="10"/>
  <c r="C122" i="22" s="1"/>
  <c r="E127" i="10"/>
  <c r="D122" i="22" s="1"/>
  <c r="F127" i="10"/>
  <c r="G127" i="10" s="1"/>
  <c r="A128" i="10"/>
  <c r="C128" i="10"/>
  <c r="D128" i="10"/>
  <c r="C123" i="22" s="1"/>
  <c r="E128" i="10"/>
  <c r="D123" i="22" s="1"/>
  <c r="F128" i="10"/>
  <c r="A129" i="10"/>
  <c r="C129" i="10"/>
  <c r="D129" i="10"/>
  <c r="C124" i="22" s="1"/>
  <c r="E129" i="10"/>
  <c r="D124" i="22" s="1"/>
  <c r="F129" i="10"/>
  <c r="A130" i="10"/>
  <c r="C130" i="10"/>
  <c r="D130" i="10"/>
  <c r="C125" i="22" s="1"/>
  <c r="E130" i="10"/>
  <c r="D125" i="22" s="1"/>
  <c r="F130" i="10"/>
  <c r="A131" i="10"/>
  <c r="C131" i="10"/>
  <c r="D131" i="10"/>
  <c r="C126" i="22" s="1"/>
  <c r="E131" i="10"/>
  <c r="D126" i="22" s="1"/>
  <c r="F131" i="10"/>
  <c r="A132" i="10"/>
  <c r="C132" i="10"/>
  <c r="D132" i="10"/>
  <c r="C127" i="22" s="1"/>
  <c r="E132" i="10"/>
  <c r="F132" i="10"/>
  <c r="A14" i="2"/>
  <c r="B14" i="2"/>
  <c r="C14" i="2"/>
  <c r="D14" i="2"/>
  <c r="A15" i="2"/>
  <c r="B15" i="2"/>
  <c r="C15" i="2"/>
  <c r="D15" i="2"/>
  <c r="A16" i="2"/>
  <c r="B16" i="2"/>
  <c r="C16" i="2"/>
  <c r="D16" i="2"/>
  <c r="A17" i="2"/>
  <c r="B17" i="2"/>
  <c r="C17" i="2"/>
  <c r="D17" i="2"/>
  <c r="A18" i="2"/>
  <c r="B18" i="2"/>
  <c r="C18" i="2"/>
  <c r="D18" i="2"/>
  <c r="A19" i="2"/>
  <c r="B19" i="2"/>
  <c r="C19" i="2"/>
  <c r="D19" i="2"/>
  <c r="A20" i="2"/>
  <c r="B20" i="2"/>
  <c r="C20" i="2"/>
  <c r="D20" i="2"/>
  <c r="A21" i="2"/>
  <c r="B21" i="2"/>
  <c r="C21" i="2"/>
  <c r="D21" i="2"/>
  <c r="A22" i="2"/>
  <c r="B22" i="2"/>
  <c r="C22" i="2"/>
  <c r="D22" i="2"/>
  <c r="A23" i="2"/>
  <c r="B23" i="2"/>
  <c r="C23" i="2"/>
  <c r="D23" i="2"/>
  <c r="A24" i="2"/>
  <c r="B24" i="2"/>
  <c r="C24" i="2"/>
  <c r="D24" i="2"/>
  <c r="A25" i="2"/>
  <c r="B25" i="2"/>
  <c r="C25" i="2"/>
  <c r="D25" i="2"/>
  <c r="A26" i="2"/>
  <c r="B26" i="2"/>
  <c r="C26" i="2"/>
  <c r="D26" i="2"/>
  <c r="A27" i="2"/>
  <c r="B27" i="2"/>
  <c r="C27" i="2"/>
  <c r="D27" i="2"/>
  <c r="A28" i="2"/>
  <c r="B28" i="2"/>
  <c r="C28" i="2"/>
  <c r="D28" i="2"/>
  <c r="A29" i="2"/>
  <c r="B29" i="2"/>
  <c r="C29" i="2"/>
  <c r="D29" i="2"/>
  <c r="A30" i="2"/>
  <c r="B30" i="2"/>
  <c r="C30" i="2"/>
  <c r="D30" i="2"/>
  <c r="A31" i="2"/>
  <c r="B31" i="2"/>
  <c r="C31" i="2"/>
  <c r="D31" i="2"/>
  <c r="A32" i="2"/>
  <c r="B32" i="2"/>
  <c r="C32" i="2"/>
  <c r="D32" i="2"/>
  <c r="A33" i="2"/>
  <c r="B33" i="2"/>
  <c r="C33" i="2"/>
  <c r="D33" i="2"/>
  <c r="A34" i="2"/>
  <c r="B34" i="2"/>
  <c r="C34" i="2"/>
  <c r="D34" i="2"/>
  <c r="A35" i="2"/>
  <c r="B35" i="2"/>
  <c r="C35" i="2"/>
  <c r="D35" i="2"/>
  <c r="A36" i="2"/>
  <c r="B36" i="2"/>
  <c r="C36" i="2"/>
  <c r="D36" i="2"/>
  <c r="A37" i="2"/>
  <c r="B37" i="2"/>
  <c r="C37" i="2"/>
  <c r="D37" i="2"/>
  <c r="A38" i="2"/>
  <c r="B38" i="2"/>
  <c r="C38" i="2"/>
  <c r="D38" i="2"/>
  <c r="A39" i="2"/>
  <c r="B39" i="2"/>
  <c r="C39" i="2"/>
  <c r="D39" i="2"/>
  <c r="A40" i="2"/>
  <c r="B40" i="2"/>
  <c r="C40" i="2"/>
  <c r="D40" i="2"/>
  <c r="A41" i="2"/>
  <c r="B41" i="2"/>
  <c r="C41" i="2"/>
  <c r="D41" i="2"/>
  <c r="A42" i="2"/>
  <c r="B42" i="2"/>
  <c r="C42" i="2"/>
  <c r="D42" i="2"/>
  <c r="A43" i="2"/>
  <c r="B43" i="2"/>
  <c r="C43" i="2"/>
  <c r="D43" i="2"/>
  <c r="A44" i="2"/>
  <c r="B44" i="2"/>
  <c r="C44" i="2"/>
  <c r="D44" i="2"/>
  <c r="A45" i="2"/>
  <c r="B45" i="2"/>
  <c r="C45" i="2"/>
  <c r="D45" i="2"/>
  <c r="A46" i="2"/>
  <c r="B46" i="2"/>
  <c r="C46" i="2"/>
  <c r="D46" i="2"/>
  <c r="A47" i="2"/>
  <c r="B47" i="2"/>
  <c r="C47" i="2"/>
  <c r="D47" i="2"/>
  <c r="A48" i="2"/>
  <c r="B48" i="2"/>
  <c r="C48" i="2"/>
  <c r="D48" i="2"/>
  <c r="A49" i="2"/>
  <c r="B49" i="2"/>
  <c r="C49" i="2"/>
  <c r="D49" i="2"/>
  <c r="A50" i="2"/>
  <c r="B50" i="2"/>
  <c r="C50" i="2"/>
  <c r="D50" i="2"/>
  <c r="A51" i="2"/>
  <c r="B51" i="2"/>
  <c r="C51" i="2"/>
  <c r="D51" i="2"/>
  <c r="A52" i="2"/>
  <c r="B52" i="2"/>
  <c r="C52" i="2"/>
  <c r="D52" i="2"/>
  <c r="A53" i="2"/>
  <c r="B53" i="2"/>
  <c r="C53" i="2"/>
  <c r="D53" i="2"/>
  <c r="A54" i="2"/>
  <c r="B54" i="2"/>
  <c r="C54" i="2"/>
  <c r="D54" i="2"/>
  <c r="A55" i="2"/>
  <c r="B55" i="2"/>
  <c r="C55" i="2"/>
  <c r="D55" i="2"/>
  <c r="A56" i="2"/>
  <c r="B56" i="2"/>
  <c r="C56" i="2"/>
  <c r="D56" i="2"/>
  <c r="A57" i="2"/>
  <c r="B57" i="2"/>
  <c r="C57" i="2"/>
  <c r="D57" i="2"/>
  <c r="A58" i="2"/>
  <c r="B58" i="2"/>
  <c r="C58" i="2"/>
  <c r="D58" i="2"/>
  <c r="A59" i="2"/>
  <c r="B59" i="2"/>
  <c r="C59" i="2"/>
  <c r="D59" i="2"/>
  <c r="A60" i="2"/>
  <c r="B60" i="2"/>
  <c r="C60" i="2"/>
  <c r="D60" i="2"/>
  <c r="A61" i="2"/>
  <c r="B61" i="2"/>
  <c r="C61" i="2"/>
  <c r="D61" i="2"/>
  <c r="A62" i="2"/>
  <c r="B62" i="2"/>
  <c r="C62" i="2"/>
  <c r="D62" i="2"/>
  <c r="A63" i="2"/>
  <c r="B63" i="2"/>
  <c r="C63" i="2"/>
  <c r="D63" i="2"/>
  <c r="A64" i="2"/>
  <c r="B64" i="2"/>
  <c r="C64" i="2"/>
  <c r="D64" i="2"/>
  <c r="A65" i="2"/>
  <c r="B65" i="2"/>
  <c r="C65" i="2"/>
  <c r="D65" i="2"/>
  <c r="A66" i="2"/>
  <c r="B66" i="2"/>
  <c r="C66" i="2"/>
  <c r="D66" i="2"/>
  <c r="A67" i="2"/>
  <c r="B67" i="2"/>
  <c r="C67" i="2"/>
  <c r="D67" i="2"/>
  <c r="A68" i="2"/>
  <c r="B68" i="2"/>
  <c r="C68" i="2"/>
  <c r="D68" i="2"/>
  <c r="A69" i="2"/>
  <c r="B69" i="2"/>
  <c r="C69" i="2"/>
  <c r="D69" i="2"/>
  <c r="A70" i="2"/>
  <c r="B70" i="2"/>
  <c r="C70" i="2"/>
  <c r="D70" i="2"/>
  <c r="A71" i="2"/>
  <c r="B71" i="2"/>
  <c r="C71" i="2"/>
  <c r="D71" i="2"/>
  <c r="A72" i="2"/>
  <c r="B72" i="2"/>
  <c r="C72" i="2"/>
  <c r="D72" i="2"/>
  <c r="A73" i="2"/>
  <c r="B73" i="2"/>
  <c r="C73" i="2"/>
  <c r="D73" i="2"/>
  <c r="A74" i="2"/>
  <c r="B74" i="2"/>
  <c r="C74" i="2"/>
  <c r="D74" i="2"/>
  <c r="A75" i="2"/>
  <c r="B75" i="2"/>
  <c r="C75" i="2"/>
  <c r="D75" i="2"/>
  <c r="A76" i="2"/>
  <c r="B76" i="2"/>
  <c r="C76" i="2"/>
  <c r="D76" i="2"/>
  <c r="A77" i="2"/>
  <c r="B77" i="2"/>
  <c r="C77" i="2"/>
  <c r="D77" i="2"/>
  <c r="A78" i="2"/>
  <c r="B78" i="2"/>
  <c r="C78" i="2"/>
  <c r="D78" i="2"/>
  <c r="A79" i="2"/>
  <c r="B79" i="2"/>
  <c r="C79" i="2"/>
  <c r="D79" i="2"/>
  <c r="A80" i="2"/>
  <c r="B80" i="2"/>
  <c r="C80" i="2"/>
  <c r="D80" i="2"/>
  <c r="A81" i="2"/>
  <c r="B81" i="2"/>
  <c r="C81" i="2"/>
  <c r="D81" i="2"/>
  <c r="A82" i="2"/>
  <c r="B82" i="2"/>
  <c r="C82" i="2"/>
  <c r="D82" i="2"/>
  <c r="A83" i="2"/>
  <c r="B83" i="2"/>
  <c r="C83" i="2"/>
  <c r="D83" i="2"/>
  <c r="A84" i="2"/>
  <c r="B84" i="2"/>
  <c r="C84" i="2"/>
  <c r="D84" i="2"/>
  <c r="A85" i="2"/>
  <c r="B85" i="2"/>
  <c r="C85" i="2"/>
  <c r="D85" i="2"/>
  <c r="A86" i="2"/>
  <c r="B86" i="2"/>
  <c r="C86" i="2"/>
  <c r="D86" i="2"/>
  <c r="A87" i="2"/>
  <c r="B87" i="2"/>
  <c r="C87" i="2"/>
  <c r="D87" i="2"/>
  <c r="A88" i="2"/>
  <c r="B88" i="2"/>
  <c r="C88" i="2"/>
  <c r="D88" i="2"/>
  <c r="A89" i="2"/>
  <c r="B89" i="2"/>
  <c r="C89" i="2"/>
  <c r="D89" i="2"/>
  <c r="A90" i="2"/>
  <c r="B90" i="2"/>
  <c r="C90" i="2"/>
  <c r="D90" i="2"/>
  <c r="A91" i="2"/>
  <c r="B91" i="2"/>
  <c r="C91" i="2"/>
  <c r="D91" i="2"/>
  <c r="A92" i="2"/>
  <c r="B92" i="2"/>
  <c r="C92" i="2"/>
  <c r="D92" i="2"/>
  <c r="A93" i="2"/>
  <c r="B93" i="2"/>
  <c r="C93" i="2"/>
  <c r="D93" i="2"/>
  <c r="A94" i="2"/>
  <c r="B94" i="2"/>
  <c r="C94" i="2"/>
  <c r="D94" i="2"/>
  <c r="A95" i="2"/>
  <c r="B95" i="2"/>
  <c r="C95" i="2"/>
  <c r="D95" i="2"/>
  <c r="A96" i="2"/>
  <c r="B96" i="2"/>
  <c r="C96" i="2"/>
  <c r="D96" i="2"/>
  <c r="A97" i="2"/>
  <c r="B97" i="2"/>
  <c r="C97" i="2"/>
  <c r="D97" i="2"/>
  <c r="A98" i="2"/>
  <c r="B98" i="2"/>
  <c r="C98" i="2"/>
  <c r="D98" i="2"/>
  <c r="A99" i="2"/>
  <c r="B99" i="2"/>
  <c r="C99" i="2"/>
  <c r="D99" i="2"/>
  <c r="A100" i="2"/>
  <c r="B100" i="2"/>
  <c r="C100" i="2"/>
  <c r="D100" i="2"/>
  <c r="A101" i="2"/>
  <c r="B101" i="2"/>
  <c r="C101" i="2"/>
  <c r="D101" i="2"/>
  <c r="A102" i="2"/>
  <c r="B102" i="2"/>
  <c r="C102" i="2"/>
  <c r="E102" i="2" s="1"/>
  <c r="D102" i="2"/>
  <c r="A103" i="2"/>
  <c r="B103" i="2"/>
  <c r="C103" i="2"/>
  <c r="D103" i="2"/>
  <c r="A104" i="2"/>
  <c r="B104" i="2"/>
  <c r="C104" i="2"/>
  <c r="E104" i="2" s="1"/>
  <c r="D104" i="2"/>
  <c r="A105" i="2"/>
  <c r="B105" i="2"/>
  <c r="C105" i="2"/>
  <c r="D105" i="2"/>
  <c r="A106" i="2"/>
  <c r="B106" i="2"/>
  <c r="C106" i="2"/>
  <c r="E106" i="2" s="1"/>
  <c r="D106" i="2"/>
  <c r="A107" i="2"/>
  <c r="B107" i="2"/>
  <c r="C107" i="2"/>
  <c r="D107" i="2"/>
  <c r="A108" i="2"/>
  <c r="B108" i="2"/>
  <c r="C108" i="2"/>
  <c r="E108" i="2" s="1"/>
  <c r="D108" i="2"/>
  <c r="A109" i="2"/>
  <c r="B109" i="2"/>
  <c r="C109" i="2"/>
  <c r="D109" i="2"/>
  <c r="A110" i="2"/>
  <c r="B110" i="2"/>
  <c r="C110" i="2"/>
  <c r="E110" i="2" s="1"/>
  <c r="D110" i="2"/>
  <c r="A111" i="2"/>
  <c r="B111" i="2"/>
  <c r="C111" i="2"/>
  <c r="D111" i="2"/>
  <c r="A112" i="2"/>
  <c r="B112" i="2"/>
  <c r="C112" i="2"/>
  <c r="E112" i="2" s="1"/>
  <c r="D112" i="2"/>
  <c r="A113" i="2"/>
  <c r="B113" i="2"/>
  <c r="C113" i="2"/>
  <c r="D113" i="2"/>
  <c r="A114" i="2"/>
  <c r="B114" i="2"/>
  <c r="C114" i="2"/>
  <c r="D114" i="2"/>
  <c r="A115" i="2"/>
  <c r="B115" i="2"/>
  <c r="C115" i="2"/>
  <c r="D115" i="2"/>
  <c r="A116" i="2"/>
  <c r="B116" i="2"/>
  <c r="C116" i="2"/>
  <c r="D116" i="2"/>
  <c r="A117" i="2"/>
  <c r="B117" i="2"/>
  <c r="C117" i="2"/>
  <c r="D117" i="2"/>
  <c r="A118" i="2"/>
  <c r="B118" i="2"/>
  <c r="C118" i="2"/>
  <c r="E118" i="2" s="1"/>
  <c r="D118" i="2"/>
  <c r="A119" i="2"/>
  <c r="B119" i="2"/>
  <c r="C119" i="2"/>
  <c r="D119" i="2"/>
  <c r="A120" i="2"/>
  <c r="B120" i="2"/>
  <c r="C120" i="2"/>
  <c r="E120" i="2" s="1"/>
  <c r="D120" i="2"/>
  <c r="A121" i="2"/>
  <c r="B121" i="2"/>
  <c r="C121" i="2"/>
  <c r="D121" i="2"/>
  <c r="A122" i="2"/>
  <c r="B122" i="2"/>
  <c r="C122" i="2"/>
  <c r="E122" i="2" s="1"/>
  <c r="D122" i="2"/>
  <c r="A123" i="2"/>
  <c r="B123" i="2"/>
  <c r="C123" i="2"/>
  <c r="D123" i="2"/>
  <c r="A124" i="2"/>
  <c r="B124" i="2"/>
  <c r="C124" i="2"/>
  <c r="E124" i="2" s="1"/>
  <c r="D124" i="2"/>
  <c r="A125" i="2"/>
  <c r="B125" i="2"/>
  <c r="C125" i="2"/>
  <c r="D125" i="2"/>
  <c r="A126" i="2"/>
  <c r="B126" i="2"/>
  <c r="C126" i="2"/>
  <c r="E126" i="2" s="1"/>
  <c r="D126" i="2"/>
  <c r="A127" i="2"/>
  <c r="B127" i="2"/>
  <c r="C127" i="2"/>
  <c r="D127" i="2"/>
  <c r="A128" i="2"/>
  <c r="B128" i="2"/>
  <c r="C128" i="2"/>
  <c r="E128" i="2" s="1"/>
  <c r="D128" i="2"/>
  <c r="A129" i="2"/>
  <c r="B129" i="2"/>
  <c r="C129" i="2"/>
  <c r="D129" i="2"/>
  <c r="A130" i="2"/>
  <c r="B130" i="2"/>
  <c r="C130" i="2"/>
  <c r="E130" i="2" s="1"/>
  <c r="D130" i="2"/>
  <c r="A131" i="2"/>
  <c r="B131" i="2"/>
  <c r="C131" i="2"/>
  <c r="D131" i="2"/>
  <c r="A132" i="2"/>
  <c r="B132" i="2"/>
  <c r="C132" i="2"/>
  <c r="E132" i="2" s="1"/>
  <c r="D132" i="2"/>
  <c r="A133" i="2"/>
  <c r="B133" i="2"/>
  <c r="C133" i="2"/>
  <c r="D133" i="2"/>
  <c r="A134" i="2"/>
  <c r="B134" i="2"/>
  <c r="C134" i="2"/>
  <c r="E134" i="2" s="1"/>
  <c r="D134" i="2"/>
  <c r="A27" i="1"/>
  <c r="C27" i="1"/>
  <c r="D27" i="1"/>
  <c r="E27" i="1"/>
  <c r="F27" i="1"/>
  <c r="H27" i="1"/>
  <c r="I27" i="1"/>
  <c r="A28" i="1"/>
  <c r="C28" i="1"/>
  <c r="D28" i="1"/>
  <c r="E28" i="1"/>
  <c r="F28" i="1"/>
  <c r="H28" i="1"/>
  <c r="I28" i="1"/>
  <c r="A29" i="1"/>
  <c r="C29" i="1"/>
  <c r="D29" i="1"/>
  <c r="E29" i="1"/>
  <c r="F29" i="1"/>
  <c r="H29" i="1"/>
  <c r="I29" i="1"/>
  <c r="A30" i="1"/>
  <c r="C30" i="1"/>
  <c r="D30" i="1"/>
  <c r="E30" i="1"/>
  <c r="F30" i="1"/>
  <c r="H30" i="1"/>
  <c r="I30" i="1"/>
  <c r="A31" i="1"/>
  <c r="C31" i="1"/>
  <c r="D31" i="1"/>
  <c r="E31" i="1"/>
  <c r="F31" i="1"/>
  <c r="H31" i="1"/>
  <c r="I31" i="1"/>
  <c r="A32" i="1"/>
  <c r="C32" i="1"/>
  <c r="D32" i="1"/>
  <c r="E32" i="1"/>
  <c r="F32" i="1"/>
  <c r="H32" i="1"/>
  <c r="I32" i="1"/>
  <c r="A33" i="1"/>
  <c r="C33" i="1"/>
  <c r="D33" i="1"/>
  <c r="E33" i="1"/>
  <c r="F33" i="1"/>
  <c r="H33" i="1"/>
  <c r="I33" i="1"/>
  <c r="A34" i="1"/>
  <c r="C34" i="1"/>
  <c r="D34" i="1"/>
  <c r="E34" i="1"/>
  <c r="F34" i="1"/>
  <c r="H34" i="1"/>
  <c r="I34" i="1"/>
  <c r="A35" i="1"/>
  <c r="C35" i="1"/>
  <c r="D35" i="1"/>
  <c r="E35" i="1"/>
  <c r="F35" i="1"/>
  <c r="H35" i="1"/>
  <c r="I35" i="1"/>
  <c r="A36" i="1"/>
  <c r="C36" i="1"/>
  <c r="D36" i="1"/>
  <c r="E36" i="1"/>
  <c r="F36" i="1"/>
  <c r="H36" i="1"/>
  <c r="I36" i="1"/>
  <c r="A37" i="1"/>
  <c r="C37" i="1"/>
  <c r="D37" i="1"/>
  <c r="E37" i="1"/>
  <c r="F37" i="1"/>
  <c r="H37" i="1"/>
  <c r="I37" i="1"/>
  <c r="A38" i="1"/>
  <c r="C38" i="1"/>
  <c r="D38" i="1"/>
  <c r="E38" i="1"/>
  <c r="F38" i="1"/>
  <c r="H38" i="1"/>
  <c r="I38" i="1"/>
  <c r="A39" i="1"/>
  <c r="C39" i="1"/>
  <c r="D39" i="1"/>
  <c r="E39" i="1"/>
  <c r="F39" i="1"/>
  <c r="H39" i="1"/>
  <c r="I39" i="1"/>
  <c r="A40" i="1"/>
  <c r="C40" i="1"/>
  <c r="D40" i="1"/>
  <c r="E40" i="1"/>
  <c r="F40" i="1"/>
  <c r="H40" i="1"/>
  <c r="I40" i="1"/>
  <c r="A41" i="1"/>
  <c r="C41" i="1"/>
  <c r="D41" i="1"/>
  <c r="E41" i="1"/>
  <c r="F41" i="1"/>
  <c r="H41" i="1"/>
  <c r="I41" i="1"/>
  <c r="A42" i="1"/>
  <c r="C42" i="1"/>
  <c r="D42" i="1"/>
  <c r="E42" i="1"/>
  <c r="F42" i="1"/>
  <c r="H42" i="1"/>
  <c r="I42" i="1"/>
  <c r="A43" i="1"/>
  <c r="C43" i="1"/>
  <c r="D43" i="1"/>
  <c r="E43" i="1"/>
  <c r="F43" i="1"/>
  <c r="H43" i="1"/>
  <c r="I43" i="1"/>
  <c r="A44" i="1"/>
  <c r="C44" i="1"/>
  <c r="D44" i="1"/>
  <c r="E44" i="1"/>
  <c r="F44" i="1"/>
  <c r="H44" i="1"/>
  <c r="I44" i="1"/>
  <c r="A45" i="1"/>
  <c r="C45" i="1"/>
  <c r="D45" i="1"/>
  <c r="E45" i="1"/>
  <c r="F45" i="1"/>
  <c r="H45" i="1"/>
  <c r="I45" i="1"/>
  <c r="A46" i="1"/>
  <c r="C46" i="1"/>
  <c r="D46" i="1"/>
  <c r="E46" i="1"/>
  <c r="F46" i="1"/>
  <c r="H46" i="1"/>
  <c r="I46" i="1"/>
  <c r="A47" i="1"/>
  <c r="C47" i="1"/>
  <c r="D47" i="1"/>
  <c r="E47" i="1"/>
  <c r="F47" i="1"/>
  <c r="H47" i="1"/>
  <c r="I47" i="1"/>
  <c r="A48" i="1"/>
  <c r="C48" i="1"/>
  <c r="D48" i="1"/>
  <c r="E48" i="1"/>
  <c r="F48" i="1"/>
  <c r="H48" i="1"/>
  <c r="I48" i="1"/>
  <c r="A49" i="1"/>
  <c r="C49" i="1"/>
  <c r="D49" i="1"/>
  <c r="E49" i="1"/>
  <c r="F49" i="1"/>
  <c r="H49" i="1"/>
  <c r="I49" i="1"/>
  <c r="A50" i="1"/>
  <c r="C50" i="1"/>
  <c r="D50" i="1"/>
  <c r="E50" i="1"/>
  <c r="F50" i="1"/>
  <c r="H50" i="1"/>
  <c r="I50" i="1"/>
  <c r="A51" i="1"/>
  <c r="C51" i="1"/>
  <c r="D51" i="1"/>
  <c r="E51" i="1"/>
  <c r="F51" i="1"/>
  <c r="H51" i="1"/>
  <c r="I51" i="1"/>
  <c r="A52" i="1"/>
  <c r="C52" i="1"/>
  <c r="D52" i="1"/>
  <c r="E52" i="1"/>
  <c r="F52" i="1"/>
  <c r="H52" i="1"/>
  <c r="I52" i="1"/>
  <c r="A53" i="1"/>
  <c r="C53" i="1"/>
  <c r="D53" i="1"/>
  <c r="E53" i="1"/>
  <c r="F53" i="1"/>
  <c r="H53" i="1"/>
  <c r="I53" i="1"/>
  <c r="A54" i="1"/>
  <c r="C54" i="1"/>
  <c r="D54" i="1"/>
  <c r="E54" i="1"/>
  <c r="F54" i="1"/>
  <c r="H54" i="1"/>
  <c r="I54" i="1"/>
  <c r="A55" i="1"/>
  <c r="C55" i="1"/>
  <c r="D55" i="1"/>
  <c r="E55" i="1"/>
  <c r="F55" i="1"/>
  <c r="H55" i="1"/>
  <c r="I55" i="1"/>
  <c r="A56" i="1"/>
  <c r="C56" i="1"/>
  <c r="D56" i="1"/>
  <c r="E56" i="1"/>
  <c r="F56" i="1"/>
  <c r="H56" i="1"/>
  <c r="I56" i="1"/>
  <c r="A57" i="1"/>
  <c r="C57" i="1"/>
  <c r="D57" i="1"/>
  <c r="E57" i="1"/>
  <c r="F57" i="1"/>
  <c r="H57" i="1"/>
  <c r="I57" i="1"/>
  <c r="A58" i="1"/>
  <c r="C58" i="1"/>
  <c r="D58" i="1"/>
  <c r="E58" i="1"/>
  <c r="F58" i="1"/>
  <c r="H58" i="1"/>
  <c r="I58" i="1"/>
  <c r="A59" i="1"/>
  <c r="C59" i="1"/>
  <c r="D59" i="1"/>
  <c r="E59" i="1"/>
  <c r="F59" i="1"/>
  <c r="H59" i="1"/>
  <c r="I59" i="1"/>
  <c r="A60" i="1"/>
  <c r="C60" i="1"/>
  <c r="D60" i="1"/>
  <c r="E60" i="1"/>
  <c r="F60" i="1"/>
  <c r="H60" i="1"/>
  <c r="I60" i="1"/>
  <c r="A61" i="1"/>
  <c r="C61" i="1"/>
  <c r="D61" i="1"/>
  <c r="E61" i="1"/>
  <c r="F61" i="1"/>
  <c r="H61" i="1"/>
  <c r="I61" i="1"/>
  <c r="A62" i="1"/>
  <c r="C62" i="1"/>
  <c r="D62" i="1"/>
  <c r="E62" i="1"/>
  <c r="F62" i="1"/>
  <c r="H62" i="1"/>
  <c r="I62" i="1"/>
  <c r="A63" i="1"/>
  <c r="C63" i="1"/>
  <c r="D63" i="1"/>
  <c r="E63" i="1"/>
  <c r="F63" i="1"/>
  <c r="H63" i="1"/>
  <c r="I63" i="1"/>
  <c r="A64" i="1"/>
  <c r="C64" i="1"/>
  <c r="D64" i="1"/>
  <c r="E64" i="1"/>
  <c r="F64" i="1"/>
  <c r="H64" i="1"/>
  <c r="I64" i="1"/>
  <c r="A65" i="1"/>
  <c r="C65" i="1"/>
  <c r="D65" i="1"/>
  <c r="E65" i="1"/>
  <c r="F65" i="1"/>
  <c r="H65" i="1"/>
  <c r="I65" i="1"/>
  <c r="A66" i="1"/>
  <c r="C66" i="1"/>
  <c r="D66" i="1"/>
  <c r="E66" i="1"/>
  <c r="F66" i="1"/>
  <c r="H66" i="1"/>
  <c r="I66" i="1"/>
  <c r="A67" i="1"/>
  <c r="C67" i="1"/>
  <c r="D67" i="1"/>
  <c r="E67" i="1"/>
  <c r="F67" i="1"/>
  <c r="H67" i="1"/>
  <c r="I67" i="1"/>
  <c r="A68" i="1"/>
  <c r="C68" i="1"/>
  <c r="D68" i="1"/>
  <c r="E68" i="1"/>
  <c r="F68" i="1"/>
  <c r="H68" i="1"/>
  <c r="I68" i="1"/>
  <c r="A69" i="1"/>
  <c r="C69" i="1"/>
  <c r="D69" i="1"/>
  <c r="E69" i="1"/>
  <c r="F69" i="1"/>
  <c r="H69" i="1"/>
  <c r="I69" i="1"/>
  <c r="A70" i="1"/>
  <c r="C70" i="1"/>
  <c r="D70" i="1"/>
  <c r="E70" i="1"/>
  <c r="F70" i="1"/>
  <c r="H70" i="1"/>
  <c r="I70" i="1"/>
  <c r="A71" i="1"/>
  <c r="C71" i="1"/>
  <c r="D71" i="1"/>
  <c r="E71" i="1"/>
  <c r="F71" i="1"/>
  <c r="H71" i="1"/>
  <c r="I71" i="1"/>
  <c r="A72" i="1"/>
  <c r="C72" i="1"/>
  <c r="D72" i="1"/>
  <c r="E72" i="1"/>
  <c r="F72" i="1"/>
  <c r="H72" i="1"/>
  <c r="I72" i="1"/>
  <c r="A73" i="1"/>
  <c r="C73" i="1"/>
  <c r="D73" i="1"/>
  <c r="E73" i="1"/>
  <c r="F73" i="1"/>
  <c r="H73" i="1"/>
  <c r="I73" i="1"/>
  <c r="A74" i="1"/>
  <c r="C74" i="1"/>
  <c r="D74" i="1"/>
  <c r="E74" i="1"/>
  <c r="F74" i="1"/>
  <c r="H74" i="1"/>
  <c r="I74" i="1"/>
  <c r="A75" i="1"/>
  <c r="C75" i="1"/>
  <c r="D75" i="1"/>
  <c r="E75" i="1"/>
  <c r="F75" i="1"/>
  <c r="H75" i="1"/>
  <c r="I75" i="1"/>
  <c r="A76" i="1"/>
  <c r="C76" i="1"/>
  <c r="D76" i="1"/>
  <c r="E76" i="1"/>
  <c r="F76" i="1"/>
  <c r="H76" i="1"/>
  <c r="I76" i="1"/>
  <c r="A77" i="1"/>
  <c r="C77" i="1"/>
  <c r="D77" i="1"/>
  <c r="E77" i="1"/>
  <c r="F77" i="1"/>
  <c r="H77" i="1"/>
  <c r="I77" i="1"/>
  <c r="A78" i="1"/>
  <c r="C78" i="1"/>
  <c r="D78" i="1"/>
  <c r="E78" i="1"/>
  <c r="F78" i="1"/>
  <c r="H78" i="1"/>
  <c r="I78" i="1"/>
  <c r="A79" i="1"/>
  <c r="C79" i="1"/>
  <c r="D79" i="1"/>
  <c r="E79" i="1"/>
  <c r="F79" i="1"/>
  <c r="H79" i="1"/>
  <c r="I79" i="1"/>
  <c r="A80" i="1"/>
  <c r="C80" i="1"/>
  <c r="D80" i="1"/>
  <c r="E80" i="1"/>
  <c r="F80" i="1"/>
  <c r="H80" i="1"/>
  <c r="I80" i="1"/>
  <c r="A81" i="1"/>
  <c r="C81" i="1"/>
  <c r="D81" i="1"/>
  <c r="E81" i="1"/>
  <c r="F81" i="1"/>
  <c r="H81" i="1"/>
  <c r="I81" i="1"/>
  <c r="A82" i="1"/>
  <c r="C82" i="1"/>
  <c r="D82" i="1"/>
  <c r="E82" i="1"/>
  <c r="F82" i="1"/>
  <c r="H82" i="1"/>
  <c r="I82" i="1"/>
  <c r="A83" i="1"/>
  <c r="C83" i="1"/>
  <c r="D83" i="1"/>
  <c r="E83" i="1"/>
  <c r="F83" i="1"/>
  <c r="H83" i="1"/>
  <c r="I83" i="1"/>
  <c r="A84" i="1"/>
  <c r="C84" i="1"/>
  <c r="D84" i="1"/>
  <c r="E84" i="1"/>
  <c r="F84" i="1"/>
  <c r="H84" i="1"/>
  <c r="I84" i="1"/>
  <c r="A85" i="1"/>
  <c r="C85" i="1"/>
  <c r="D85" i="1"/>
  <c r="E85" i="1"/>
  <c r="F85" i="1"/>
  <c r="H85" i="1"/>
  <c r="I85" i="1"/>
  <c r="A86" i="1"/>
  <c r="C86" i="1"/>
  <c r="D86" i="1"/>
  <c r="E86" i="1"/>
  <c r="F86" i="1"/>
  <c r="H86" i="1"/>
  <c r="I86" i="1"/>
  <c r="A87" i="1"/>
  <c r="C87" i="1"/>
  <c r="D87" i="1"/>
  <c r="E87" i="1"/>
  <c r="F87" i="1"/>
  <c r="H87" i="1"/>
  <c r="I87" i="1"/>
  <c r="A88" i="1"/>
  <c r="C88" i="1"/>
  <c r="D88" i="1"/>
  <c r="E88" i="1"/>
  <c r="F88" i="1"/>
  <c r="H88" i="1"/>
  <c r="I88" i="1"/>
  <c r="A89" i="1"/>
  <c r="C89" i="1"/>
  <c r="D89" i="1"/>
  <c r="E89" i="1"/>
  <c r="F89" i="1"/>
  <c r="H89" i="1"/>
  <c r="I89" i="1"/>
  <c r="A90" i="1"/>
  <c r="C90" i="1"/>
  <c r="D90" i="1"/>
  <c r="E90" i="1"/>
  <c r="F90" i="1"/>
  <c r="H90" i="1"/>
  <c r="I90" i="1"/>
  <c r="A91" i="1"/>
  <c r="C91" i="1"/>
  <c r="D91" i="1"/>
  <c r="E91" i="1"/>
  <c r="F91" i="1"/>
  <c r="H91" i="1"/>
  <c r="I91" i="1"/>
  <c r="A92" i="1"/>
  <c r="C92" i="1"/>
  <c r="D92" i="1"/>
  <c r="E92" i="1"/>
  <c r="F92" i="1"/>
  <c r="H92" i="1"/>
  <c r="I92" i="1"/>
  <c r="A93" i="1"/>
  <c r="C93" i="1"/>
  <c r="D93" i="1"/>
  <c r="E93" i="1"/>
  <c r="F93" i="1"/>
  <c r="H93" i="1"/>
  <c r="I93" i="1"/>
  <c r="A94" i="1"/>
  <c r="C94" i="1"/>
  <c r="D94" i="1"/>
  <c r="E94" i="1"/>
  <c r="F94" i="1"/>
  <c r="H94" i="1"/>
  <c r="I94" i="1"/>
  <c r="A95" i="1"/>
  <c r="C95" i="1"/>
  <c r="D95" i="1"/>
  <c r="E95" i="1"/>
  <c r="F95" i="1"/>
  <c r="H95" i="1"/>
  <c r="I95" i="1"/>
  <c r="A96" i="1"/>
  <c r="C96" i="1"/>
  <c r="D96" i="1"/>
  <c r="E96" i="1"/>
  <c r="F96" i="1"/>
  <c r="H96" i="1"/>
  <c r="I96" i="1"/>
  <c r="A97" i="1"/>
  <c r="C97" i="1"/>
  <c r="D97" i="1"/>
  <c r="E97" i="1"/>
  <c r="F97" i="1"/>
  <c r="H97" i="1"/>
  <c r="I97" i="1"/>
  <c r="A98" i="1"/>
  <c r="C98" i="1"/>
  <c r="D98" i="1"/>
  <c r="E98" i="1"/>
  <c r="F98" i="1"/>
  <c r="H98" i="1"/>
  <c r="I98" i="1"/>
  <c r="A99" i="1"/>
  <c r="C99" i="1"/>
  <c r="D99" i="1"/>
  <c r="E99" i="1"/>
  <c r="F99" i="1"/>
  <c r="H99" i="1"/>
  <c r="I99" i="1"/>
  <c r="A100" i="1"/>
  <c r="C100" i="1"/>
  <c r="D100" i="1"/>
  <c r="E100" i="1"/>
  <c r="F100" i="1"/>
  <c r="H100" i="1"/>
  <c r="I100" i="1"/>
  <c r="A101" i="1"/>
  <c r="C101" i="1"/>
  <c r="D101" i="1"/>
  <c r="E101" i="1"/>
  <c r="F101" i="1"/>
  <c r="H101" i="1"/>
  <c r="I101" i="1"/>
  <c r="A102" i="1"/>
  <c r="C102" i="1"/>
  <c r="D102" i="1"/>
  <c r="E102" i="1"/>
  <c r="F102" i="1"/>
  <c r="H102" i="1"/>
  <c r="I102" i="1"/>
  <c r="A103" i="1"/>
  <c r="C103" i="1"/>
  <c r="D103" i="1"/>
  <c r="E103" i="1"/>
  <c r="F103" i="1"/>
  <c r="H103" i="1"/>
  <c r="I103" i="1"/>
  <c r="A104" i="1"/>
  <c r="C104" i="1"/>
  <c r="D104" i="1"/>
  <c r="E104" i="1"/>
  <c r="F104" i="1"/>
  <c r="H104" i="1"/>
  <c r="I104" i="1"/>
  <c r="A105" i="1"/>
  <c r="C105" i="1"/>
  <c r="D105" i="1"/>
  <c r="E105" i="1"/>
  <c r="F105" i="1"/>
  <c r="H105" i="1"/>
  <c r="I105" i="1"/>
  <c r="A106" i="1"/>
  <c r="C106" i="1"/>
  <c r="D106" i="1"/>
  <c r="E106" i="1"/>
  <c r="F106" i="1"/>
  <c r="H106" i="1"/>
  <c r="I106" i="1"/>
  <c r="A107" i="1"/>
  <c r="C107" i="1"/>
  <c r="D107" i="1"/>
  <c r="E107" i="1"/>
  <c r="F107" i="1"/>
  <c r="H107" i="1"/>
  <c r="I107" i="1"/>
  <c r="A108" i="1"/>
  <c r="C108" i="1"/>
  <c r="D108" i="1"/>
  <c r="E108" i="1"/>
  <c r="F108" i="1"/>
  <c r="H108" i="1"/>
  <c r="I108" i="1"/>
  <c r="A109" i="1"/>
  <c r="C109" i="1"/>
  <c r="D109" i="1"/>
  <c r="E109" i="1"/>
  <c r="F109" i="1"/>
  <c r="H109" i="1"/>
  <c r="I109" i="1"/>
  <c r="A110" i="1"/>
  <c r="C110" i="1"/>
  <c r="D110" i="1"/>
  <c r="E110" i="1"/>
  <c r="F110" i="1"/>
  <c r="H110" i="1"/>
  <c r="I110" i="1"/>
  <c r="A111" i="1"/>
  <c r="C111" i="1"/>
  <c r="D111" i="1"/>
  <c r="E111" i="1"/>
  <c r="F111" i="1"/>
  <c r="H111" i="1"/>
  <c r="I111" i="1"/>
  <c r="A112" i="1"/>
  <c r="C112" i="1"/>
  <c r="D112" i="1"/>
  <c r="E112" i="1"/>
  <c r="F112" i="1"/>
  <c r="H112" i="1"/>
  <c r="I112" i="1"/>
  <c r="A113" i="1"/>
  <c r="C113" i="1"/>
  <c r="D113" i="1"/>
  <c r="E113" i="1"/>
  <c r="F113" i="1"/>
  <c r="H113" i="1"/>
  <c r="I113" i="1"/>
  <c r="A114" i="1"/>
  <c r="C114" i="1"/>
  <c r="D114" i="1"/>
  <c r="E114" i="1"/>
  <c r="F114" i="1"/>
  <c r="H114" i="1"/>
  <c r="I114" i="1"/>
  <c r="A115" i="1"/>
  <c r="C115" i="1"/>
  <c r="D115" i="1"/>
  <c r="E115" i="1"/>
  <c r="F115" i="1"/>
  <c r="H115" i="1"/>
  <c r="I115" i="1"/>
  <c r="A116" i="1"/>
  <c r="C116" i="1"/>
  <c r="D116" i="1"/>
  <c r="E116" i="1"/>
  <c r="F116" i="1"/>
  <c r="H116" i="1"/>
  <c r="I116" i="1"/>
  <c r="A117" i="1"/>
  <c r="C117" i="1"/>
  <c r="D117" i="1"/>
  <c r="E117" i="1"/>
  <c r="F117" i="1"/>
  <c r="H117" i="1"/>
  <c r="I117" i="1"/>
  <c r="A118" i="1"/>
  <c r="C118" i="1"/>
  <c r="D118" i="1"/>
  <c r="E118" i="1"/>
  <c r="F118" i="1"/>
  <c r="H118" i="1"/>
  <c r="I118" i="1"/>
  <c r="A119" i="1"/>
  <c r="C119" i="1"/>
  <c r="D119" i="1"/>
  <c r="E119" i="1"/>
  <c r="F119" i="1"/>
  <c r="H119" i="1"/>
  <c r="I119" i="1"/>
  <c r="A120" i="1"/>
  <c r="C120" i="1"/>
  <c r="D120" i="1"/>
  <c r="E120" i="1"/>
  <c r="F120" i="1"/>
  <c r="G120" i="1"/>
  <c r="H120" i="1"/>
  <c r="I120" i="1"/>
  <c r="A121" i="1"/>
  <c r="C121" i="1"/>
  <c r="D121" i="1"/>
  <c r="E121" i="1"/>
  <c r="F121" i="1"/>
  <c r="H121" i="1"/>
  <c r="I121" i="1"/>
  <c r="A122" i="1"/>
  <c r="C122" i="1"/>
  <c r="D122" i="1"/>
  <c r="E122" i="1"/>
  <c r="F122" i="1"/>
  <c r="H122" i="1"/>
  <c r="I122" i="1"/>
  <c r="A123" i="1"/>
  <c r="C123" i="1"/>
  <c r="D123" i="1"/>
  <c r="E123" i="1"/>
  <c r="F123" i="1"/>
  <c r="H123" i="1"/>
  <c r="I123" i="1"/>
  <c r="A124" i="1"/>
  <c r="C124" i="1"/>
  <c r="D124" i="1"/>
  <c r="E124" i="1"/>
  <c r="F124" i="1"/>
  <c r="H124" i="1"/>
  <c r="I124" i="1"/>
  <c r="A125" i="1"/>
  <c r="C125" i="1"/>
  <c r="D125" i="1"/>
  <c r="E125" i="1"/>
  <c r="F125" i="1"/>
  <c r="H125" i="1"/>
  <c r="I125" i="1"/>
  <c r="A126" i="1"/>
  <c r="C126" i="1"/>
  <c r="D126" i="1"/>
  <c r="E126" i="1"/>
  <c r="F126" i="1"/>
  <c r="H126" i="1"/>
  <c r="I126" i="1"/>
  <c r="A127" i="1"/>
  <c r="C127" i="1"/>
  <c r="D127" i="1"/>
  <c r="E127" i="1"/>
  <c r="F127" i="1"/>
  <c r="H127" i="1"/>
  <c r="I127" i="1"/>
  <c r="A128" i="1"/>
  <c r="C128" i="1"/>
  <c r="D128" i="1"/>
  <c r="E128" i="1"/>
  <c r="F128" i="1"/>
  <c r="H128" i="1"/>
  <c r="I128" i="1"/>
  <c r="A129" i="1"/>
  <c r="C129" i="1"/>
  <c r="D129" i="1"/>
  <c r="E129" i="1"/>
  <c r="F129" i="1"/>
  <c r="H129" i="1"/>
  <c r="I129" i="1"/>
  <c r="A130" i="1"/>
  <c r="C130" i="1"/>
  <c r="D130" i="1"/>
  <c r="E130" i="1"/>
  <c r="F130" i="1"/>
  <c r="H130" i="1"/>
  <c r="I130" i="1"/>
  <c r="A131" i="1"/>
  <c r="C131" i="1"/>
  <c r="D131" i="1"/>
  <c r="E131" i="1"/>
  <c r="F131" i="1"/>
  <c r="H131" i="1"/>
  <c r="I131" i="1"/>
  <c r="A132" i="1"/>
  <c r="C132" i="1"/>
  <c r="D132" i="1"/>
  <c r="E132" i="1"/>
  <c r="F132" i="1"/>
  <c r="H132" i="1"/>
  <c r="I132" i="1"/>
  <c r="A126" i="22"/>
  <c r="A127" i="22"/>
  <c r="A128" i="22"/>
  <c r="A129" i="22"/>
  <c r="A130" i="22"/>
  <c r="A131" i="22"/>
  <c r="A108" i="22"/>
  <c r="A109" i="22"/>
  <c r="A110" i="22"/>
  <c r="A111" i="22"/>
  <c r="A112" i="22"/>
  <c r="A113" i="22"/>
  <c r="A114" i="22"/>
  <c r="A115" i="22"/>
  <c r="A116" i="22"/>
  <c r="A117" i="22"/>
  <c r="A118" i="22"/>
  <c r="A119" i="22"/>
  <c r="A120" i="22"/>
  <c r="A121" i="22"/>
  <c r="A122" i="22"/>
  <c r="A123" i="22"/>
  <c r="A124" i="22"/>
  <c r="A125" i="22"/>
  <c r="A11" i="22"/>
  <c r="A12" i="22"/>
  <c r="A13" i="22"/>
  <c r="A14" i="22"/>
  <c r="A15" i="22"/>
  <c r="A16" i="22"/>
  <c r="A17" i="22"/>
  <c r="A18" i="22"/>
  <c r="A19" i="22"/>
  <c r="A20" i="22"/>
  <c r="A21" i="22"/>
  <c r="A22" i="22"/>
  <c r="A23" i="22"/>
  <c r="A24" i="22"/>
  <c r="A25" i="22"/>
  <c r="A26" i="22"/>
  <c r="A27" i="22"/>
  <c r="A28" i="22"/>
  <c r="A29" i="22"/>
  <c r="A30" i="22"/>
  <c r="A31" i="22"/>
  <c r="A32" i="22"/>
  <c r="A33" i="22"/>
  <c r="A34" i="22"/>
  <c r="A35" i="22"/>
  <c r="A36" i="22"/>
  <c r="A37" i="22"/>
  <c r="A38" i="22"/>
  <c r="A39" i="22"/>
  <c r="A40" i="22"/>
  <c r="A41" i="22"/>
  <c r="A42" i="22"/>
  <c r="A43" i="22"/>
  <c r="A44" i="22"/>
  <c r="A45" i="22"/>
  <c r="A46" i="22"/>
  <c r="A47" i="22"/>
  <c r="A48" i="22"/>
  <c r="A49" i="22"/>
  <c r="A50" i="22"/>
  <c r="A51" i="22"/>
  <c r="A52" i="22"/>
  <c r="A53" i="22"/>
  <c r="A54" i="22"/>
  <c r="A55" i="22"/>
  <c r="A56" i="22"/>
  <c r="A57" i="22"/>
  <c r="A58" i="22"/>
  <c r="A59" i="22"/>
  <c r="A60" i="22"/>
  <c r="A61" i="22"/>
  <c r="A62" i="22"/>
  <c r="A63" i="22"/>
  <c r="A64" i="22"/>
  <c r="A65" i="22"/>
  <c r="A66" i="22"/>
  <c r="A67" i="22"/>
  <c r="A68" i="22"/>
  <c r="A69" i="22"/>
  <c r="A70" i="22"/>
  <c r="A71" i="22"/>
  <c r="A72" i="22"/>
  <c r="A73" i="22"/>
  <c r="A74" i="22"/>
  <c r="A75" i="22"/>
  <c r="A76" i="22"/>
  <c r="A77" i="22"/>
  <c r="A78" i="22"/>
  <c r="A79" i="22"/>
  <c r="A80" i="22"/>
  <c r="A81" i="22"/>
  <c r="A82" i="22"/>
  <c r="A83" i="22"/>
  <c r="A84" i="22"/>
  <c r="A85" i="22"/>
  <c r="A86" i="22"/>
  <c r="A87" i="22"/>
  <c r="A88" i="22"/>
  <c r="A89" i="22"/>
  <c r="A90" i="22"/>
  <c r="A91" i="22"/>
  <c r="A92" i="22"/>
  <c r="A93" i="22"/>
  <c r="A94" i="22"/>
  <c r="A95" i="22"/>
  <c r="A96" i="22"/>
  <c r="A97" i="22"/>
  <c r="A98" i="22"/>
  <c r="A99" i="22"/>
  <c r="A100" i="22"/>
  <c r="A101" i="22"/>
  <c r="A102" i="22"/>
  <c r="A103" i="22"/>
  <c r="A104" i="22"/>
  <c r="A105" i="22"/>
  <c r="A106" i="22"/>
  <c r="A107" i="22"/>
  <c r="A12" i="1"/>
  <c r="C12" i="1"/>
  <c r="D12" i="1"/>
  <c r="E12" i="1"/>
  <c r="F12" i="1"/>
  <c r="H12" i="1"/>
  <c r="I12" i="1"/>
  <c r="A13" i="1"/>
  <c r="C13" i="1"/>
  <c r="D13" i="1"/>
  <c r="E13" i="1"/>
  <c r="F13" i="1"/>
  <c r="H13" i="1"/>
  <c r="I13" i="1"/>
  <c r="A14" i="1"/>
  <c r="C14" i="1"/>
  <c r="D14" i="1"/>
  <c r="E14" i="1"/>
  <c r="F14" i="1"/>
  <c r="H14" i="1"/>
  <c r="I14" i="1"/>
  <c r="A15" i="1"/>
  <c r="C15" i="1"/>
  <c r="D15" i="1"/>
  <c r="E15" i="1"/>
  <c r="F15" i="1"/>
  <c r="H15" i="1"/>
  <c r="I15" i="1"/>
  <c r="A16" i="1"/>
  <c r="C16" i="1"/>
  <c r="D16" i="1"/>
  <c r="E16" i="1"/>
  <c r="F16" i="1"/>
  <c r="H16" i="1"/>
  <c r="I16" i="1"/>
  <c r="A17" i="1"/>
  <c r="C17" i="1"/>
  <c r="D17" i="1"/>
  <c r="E17" i="1"/>
  <c r="F17" i="1"/>
  <c r="H17" i="1"/>
  <c r="I17" i="1"/>
  <c r="A18" i="1"/>
  <c r="C18" i="1"/>
  <c r="D18" i="1"/>
  <c r="E18" i="1"/>
  <c r="F18" i="1"/>
  <c r="H18" i="1"/>
  <c r="I18" i="1"/>
  <c r="A19" i="1"/>
  <c r="C19" i="1"/>
  <c r="D19" i="1"/>
  <c r="E19" i="1"/>
  <c r="F19" i="1"/>
  <c r="H19" i="1"/>
  <c r="I19" i="1"/>
  <c r="A20" i="1"/>
  <c r="C20" i="1"/>
  <c r="D20" i="1"/>
  <c r="E20" i="1"/>
  <c r="F20" i="1"/>
  <c r="H20" i="1"/>
  <c r="I20" i="1"/>
  <c r="A21" i="1"/>
  <c r="C21" i="1"/>
  <c r="D21" i="1"/>
  <c r="E21" i="1"/>
  <c r="F21" i="1"/>
  <c r="H21" i="1"/>
  <c r="I21" i="1"/>
  <c r="A22" i="1"/>
  <c r="C22" i="1"/>
  <c r="D22" i="1"/>
  <c r="E22" i="1"/>
  <c r="F22" i="1"/>
  <c r="H22" i="1"/>
  <c r="I22" i="1"/>
  <c r="A23" i="1"/>
  <c r="C23" i="1"/>
  <c r="D23" i="1"/>
  <c r="E23" i="1"/>
  <c r="F23" i="1"/>
  <c r="H23" i="1"/>
  <c r="I23" i="1"/>
  <c r="A24" i="1"/>
  <c r="C24" i="1"/>
  <c r="D24" i="1"/>
  <c r="E24" i="1"/>
  <c r="F24" i="1"/>
  <c r="H24" i="1"/>
  <c r="I24" i="1"/>
  <c r="A25" i="1"/>
  <c r="C25" i="1"/>
  <c r="D25" i="1"/>
  <c r="E25" i="1"/>
  <c r="F25" i="1"/>
  <c r="H25" i="1"/>
  <c r="I25" i="1"/>
  <c r="A26" i="1"/>
  <c r="C26" i="1"/>
  <c r="D26" i="1"/>
  <c r="E26" i="1"/>
  <c r="F26" i="1"/>
  <c r="H26" i="1"/>
  <c r="I26" i="1"/>
  <c r="S70" i="6"/>
  <c r="I4" i="22"/>
  <c r="E4" i="22" s="1"/>
  <c r="Z2" i="9"/>
  <c r="C15" i="10"/>
  <c r="B11" i="1"/>
  <c r="D15" i="10"/>
  <c r="G2" i="9" s="1"/>
  <c r="F2" i="18" s="1"/>
  <c r="F15" i="10"/>
  <c r="E15" i="10"/>
  <c r="D10" i="22" s="1"/>
  <c r="E10" i="22"/>
  <c r="H10" i="22"/>
  <c r="G10" i="22"/>
  <c r="A10" i="22"/>
  <c r="I5" i="22"/>
  <c r="E5" i="22"/>
  <c r="G65" i="17"/>
  <c r="C11" i="1"/>
  <c r="J11" i="20"/>
  <c r="F17" i="17"/>
  <c r="F21" i="17"/>
  <c r="D13" i="2"/>
  <c r="F3" i="17"/>
  <c r="I3" i="17"/>
  <c r="F4" i="17"/>
  <c r="I4" i="17"/>
  <c r="I5" i="17"/>
  <c r="I6" i="17"/>
  <c r="F7" i="17"/>
  <c r="I7" i="17"/>
  <c r="I8" i="17"/>
  <c r="I9" i="17"/>
  <c r="I11" i="17"/>
  <c r="F12" i="17"/>
  <c r="I13" i="17"/>
  <c r="F14" i="17"/>
  <c r="I14" i="17"/>
  <c r="F15" i="17"/>
  <c r="I15" i="17"/>
  <c r="F16" i="17"/>
  <c r="I16" i="17"/>
  <c r="I17" i="17"/>
  <c r="I19" i="17"/>
  <c r="F20" i="17"/>
  <c r="I20" i="17"/>
  <c r="I22" i="17"/>
  <c r="F28" i="17"/>
  <c r="I28" i="17"/>
  <c r="I29" i="17"/>
  <c r="K15" i="10"/>
  <c r="I65" i="17"/>
  <c r="I12" i="17"/>
  <c r="J19" i="6"/>
  <c r="G19" i="6"/>
  <c r="X19" i="6" s="1"/>
  <c r="S134" i="2"/>
  <c r="Q133" i="2"/>
  <c r="F26" i="18"/>
  <c r="H5" i="17"/>
  <c r="H8" i="17"/>
  <c r="H11" i="17"/>
  <c r="G13" i="18"/>
  <c r="G14" i="18"/>
  <c r="H15" i="17"/>
  <c r="G16" i="18"/>
  <c r="I18" i="17"/>
  <c r="H21" i="17"/>
  <c r="G23" i="18"/>
  <c r="I23" i="17"/>
  <c r="H27" i="17"/>
  <c r="F25" i="18"/>
  <c r="H23" i="17"/>
  <c r="S107" i="2"/>
  <c r="C4" i="6"/>
  <c r="F10" i="17"/>
  <c r="I10" i="17"/>
  <c r="I30" i="17"/>
  <c r="G34" i="18"/>
  <c r="I33" i="17"/>
  <c r="G33" i="18"/>
  <c r="G32" i="18"/>
  <c r="I31" i="17"/>
  <c r="H35" i="17"/>
  <c r="G35" i="18"/>
  <c r="Y2" i="9"/>
  <c r="F10" i="18"/>
  <c r="F27" i="18"/>
  <c r="F28" i="18"/>
  <c r="F29" i="18"/>
  <c r="F30" i="18"/>
  <c r="F31" i="18"/>
  <c r="F32" i="18"/>
  <c r="F34" i="17"/>
  <c r="F35" i="17"/>
  <c r="I11" i="1"/>
  <c r="J15" i="10"/>
  <c r="F34" i="18"/>
  <c r="F35" i="18"/>
  <c r="F38" i="18"/>
  <c r="F40" i="18"/>
  <c r="F41" i="18"/>
  <c r="F47" i="18"/>
  <c r="H2" i="17"/>
  <c r="H11" i="1"/>
  <c r="I15" i="10"/>
  <c r="H15" i="10"/>
  <c r="A15" i="10"/>
  <c r="F33" i="18"/>
  <c r="F36" i="18"/>
  <c r="F37" i="18"/>
  <c r="F39" i="18"/>
  <c r="F42" i="18"/>
  <c r="F43" i="18"/>
  <c r="F44" i="18"/>
  <c r="F45" i="18"/>
  <c r="F46" i="18"/>
  <c r="F48" i="18"/>
  <c r="F49" i="18"/>
  <c r="F50" i="18"/>
  <c r="F51" i="18"/>
  <c r="B3" i="17"/>
  <c r="C3" i="17"/>
  <c r="D3" i="17"/>
  <c r="E3" i="17"/>
  <c r="B4" i="17"/>
  <c r="C4" i="17"/>
  <c r="D4" i="17"/>
  <c r="E4" i="17"/>
  <c r="G4" i="17"/>
  <c r="B5" i="17"/>
  <c r="C5" i="17"/>
  <c r="D5" i="17"/>
  <c r="E5" i="17"/>
  <c r="B6" i="17"/>
  <c r="C6" i="17"/>
  <c r="D6" i="17"/>
  <c r="E6" i="17"/>
  <c r="B7" i="17"/>
  <c r="C7" i="17"/>
  <c r="D7" i="17"/>
  <c r="E7" i="17"/>
  <c r="B8" i="17"/>
  <c r="C8" i="17"/>
  <c r="D8" i="17"/>
  <c r="E8" i="17"/>
  <c r="B9" i="17"/>
  <c r="C9" i="17"/>
  <c r="D9" i="17"/>
  <c r="E9" i="17"/>
  <c r="B10" i="17"/>
  <c r="C10" i="17"/>
  <c r="D10" i="17"/>
  <c r="E10" i="17"/>
  <c r="G10" i="17"/>
  <c r="B11" i="17"/>
  <c r="C11" i="17"/>
  <c r="D11" i="17"/>
  <c r="E11" i="17"/>
  <c r="B12" i="17"/>
  <c r="C12" i="17"/>
  <c r="D12" i="17"/>
  <c r="E12" i="17"/>
  <c r="B13" i="17"/>
  <c r="C13" i="17"/>
  <c r="D13" i="17"/>
  <c r="E13" i="17"/>
  <c r="B14" i="17"/>
  <c r="C14" i="17"/>
  <c r="D14" i="17"/>
  <c r="E14" i="17"/>
  <c r="B15" i="17"/>
  <c r="C15" i="17"/>
  <c r="D15" i="17"/>
  <c r="E15" i="17"/>
  <c r="B16" i="17"/>
  <c r="C16" i="17"/>
  <c r="D16" i="17"/>
  <c r="E16" i="17"/>
  <c r="B17" i="17"/>
  <c r="C17" i="17"/>
  <c r="D17" i="17"/>
  <c r="E17" i="17"/>
  <c r="B18" i="17"/>
  <c r="C18" i="17"/>
  <c r="D18" i="17"/>
  <c r="E18" i="17"/>
  <c r="B19" i="17"/>
  <c r="C19" i="17"/>
  <c r="D19" i="17"/>
  <c r="E19" i="17"/>
  <c r="B20" i="17"/>
  <c r="C20" i="17"/>
  <c r="D20" i="17"/>
  <c r="E20" i="17"/>
  <c r="G20" i="17"/>
  <c r="B21" i="17"/>
  <c r="C21" i="17"/>
  <c r="D21" i="17"/>
  <c r="E21" i="17"/>
  <c r="B22" i="17"/>
  <c r="C22" i="17"/>
  <c r="D22" i="17"/>
  <c r="E22" i="17"/>
  <c r="B23" i="17"/>
  <c r="C23" i="17"/>
  <c r="D23" i="17"/>
  <c r="E23" i="17"/>
  <c r="A24" i="17"/>
  <c r="B24" i="17"/>
  <c r="C24" i="17"/>
  <c r="D24" i="17"/>
  <c r="E24" i="17"/>
  <c r="A25" i="17"/>
  <c r="B25" i="17"/>
  <c r="C25" i="17"/>
  <c r="D25" i="17"/>
  <c r="E25" i="17"/>
  <c r="A26" i="17"/>
  <c r="B26" i="17"/>
  <c r="C26" i="17"/>
  <c r="D26" i="17"/>
  <c r="E26" i="17"/>
  <c r="B27" i="17"/>
  <c r="C27" i="17"/>
  <c r="D27" i="17"/>
  <c r="E27" i="17"/>
  <c r="B28" i="17"/>
  <c r="C28" i="17"/>
  <c r="D28" i="17"/>
  <c r="E28" i="17"/>
  <c r="B29" i="17"/>
  <c r="C29" i="17"/>
  <c r="D29" i="17"/>
  <c r="E29" i="17"/>
  <c r="B30" i="17"/>
  <c r="C30" i="17"/>
  <c r="D30" i="17"/>
  <c r="E30" i="17"/>
  <c r="B31" i="17"/>
  <c r="C31" i="17"/>
  <c r="D31" i="17"/>
  <c r="E31" i="17"/>
  <c r="B32" i="17"/>
  <c r="C32" i="17"/>
  <c r="D32" i="17"/>
  <c r="E32" i="17"/>
  <c r="B33" i="17"/>
  <c r="C33" i="17"/>
  <c r="D33" i="17"/>
  <c r="E33" i="17"/>
  <c r="B34" i="17"/>
  <c r="C34" i="17"/>
  <c r="D34" i="17"/>
  <c r="B35" i="17"/>
  <c r="C35" i="17"/>
  <c r="D35" i="17"/>
  <c r="E35" i="17"/>
  <c r="G35" i="17"/>
  <c r="B36" i="17"/>
  <c r="C36" i="17"/>
  <c r="D36" i="17"/>
  <c r="E36" i="17"/>
  <c r="G36" i="17"/>
  <c r="B37" i="17"/>
  <c r="C37" i="17"/>
  <c r="D37" i="17"/>
  <c r="B38" i="17"/>
  <c r="C38" i="17"/>
  <c r="D38" i="17"/>
  <c r="E38" i="17"/>
  <c r="B39" i="17"/>
  <c r="C39" i="17"/>
  <c r="D39" i="17"/>
  <c r="E39" i="17"/>
  <c r="B40" i="17"/>
  <c r="C40" i="17"/>
  <c r="D40" i="17"/>
  <c r="E40" i="17"/>
  <c r="G40" i="17"/>
  <c r="B41" i="17"/>
  <c r="C41" i="17"/>
  <c r="D41" i="17"/>
  <c r="B42" i="17"/>
  <c r="C42" i="17"/>
  <c r="D42" i="17"/>
  <c r="B43" i="17"/>
  <c r="C43" i="17"/>
  <c r="D43" i="17"/>
  <c r="B44" i="17"/>
  <c r="C44" i="17"/>
  <c r="D44" i="17"/>
  <c r="B45" i="17"/>
  <c r="C45" i="17"/>
  <c r="D45" i="17"/>
  <c r="E45" i="17"/>
  <c r="B46" i="17"/>
  <c r="C46" i="17"/>
  <c r="D46" i="17"/>
  <c r="E46" i="17"/>
  <c r="B47" i="17"/>
  <c r="C47" i="17"/>
  <c r="D47" i="17"/>
  <c r="E47" i="17"/>
  <c r="B48" i="17"/>
  <c r="C48" i="17"/>
  <c r="D48" i="17"/>
  <c r="E48" i="17"/>
  <c r="B49" i="17"/>
  <c r="C49" i="17"/>
  <c r="D49" i="17"/>
  <c r="E49" i="17"/>
  <c r="B50" i="17"/>
  <c r="C50" i="17"/>
  <c r="D50" i="17"/>
  <c r="E50" i="17"/>
  <c r="B51" i="17"/>
  <c r="C51" i="17"/>
  <c r="D51" i="17"/>
  <c r="E51" i="17"/>
  <c r="B52" i="17"/>
  <c r="C52" i="17"/>
  <c r="D52" i="17"/>
  <c r="E52" i="17"/>
  <c r="B53" i="17"/>
  <c r="C53" i="17"/>
  <c r="D53" i="17"/>
  <c r="E53" i="17"/>
  <c r="B54" i="17"/>
  <c r="C54" i="17"/>
  <c r="D54" i="17"/>
  <c r="B55" i="17"/>
  <c r="C55" i="17"/>
  <c r="D55" i="17"/>
  <c r="B56" i="17"/>
  <c r="C56" i="17"/>
  <c r="D56" i="17"/>
  <c r="E56" i="17"/>
  <c r="F56" i="17"/>
  <c r="G56" i="17"/>
  <c r="B57" i="17"/>
  <c r="C57" i="17"/>
  <c r="D57" i="17"/>
  <c r="E57" i="17"/>
  <c r="B58" i="17"/>
  <c r="C58" i="17"/>
  <c r="D58" i="17"/>
  <c r="E58" i="17"/>
  <c r="B59" i="17"/>
  <c r="C59" i="17"/>
  <c r="D59" i="17"/>
  <c r="E59" i="17"/>
  <c r="B60" i="17"/>
  <c r="C60" i="17"/>
  <c r="D60" i="17"/>
  <c r="E60" i="17"/>
  <c r="B61" i="17"/>
  <c r="C61" i="17"/>
  <c r="D61" i="17"/>
  <c r="E61" i="17"/>
  <c r="B62" i="17"/>
  <c r="C62" i="17"/>
  <c r="D62" i="17"/>
  <c r="E62" i="17"/>
  <c r="B63" i="17"/>
  <c r="C63" i="17"/>
  <c r="D63" i="17"/>
  <c r="E63" i="17"/>
  <c r="G63" i="17"/>
  <c r="F48" i="17"/>
  <c r="I49" i="17"/>
  <c r="F52" i="17"/>
  <c r="F53" i="17"/>
  <c r="F55" i="17"/>
  <c r="I56" i="17"/>
  <c r="E42" i="18"/>
  <c r="E38" i="18"/>
  <c r="C4" i="18"/>
  <c r="D4" i="18"/>
  <c r="E4" i="18"/>
  <c r="C5" i="18"/>
  <c r="D5" i="18"/>
  <c r="E5" i="18"/>
  <c r="C6" i="18"/>
  <c r="D6" i="18"/>
  <c r="E6" i="18"/>
  <c r="C7" i="18"/>
  <c r="D7" i="18"/>
  <c r="E7" i="18"/>
  <c r="C8" i="18"/>
  <c r="D8" i="18"/>
  <c r="E8" i="18"/>
  <c r="C9" i="18"/>
  <c r="D9" i="18"/>
  <c r="E9" i="18"/>
  <c r="C10" i="18"/>
  <c r="D10" i="18"/>
  <c r="E10" i="18"/>
  <c r="C11" i="18"/>
  <c r="D11" i="18"/>
  <c r="E11" i="18"/>
  <c r="C12" i="18"/>
  <c r="D12" i="18"/>
  <c r="E12" i="18"/>
  <c r="C13" i="18"/>
  <c r="D13" i="18"/>
  <c r="E13" i="18"/>
  <c r="C14" i="18"/>
  <c r="D14" i="18"/>
  <c r="E14" i="18"/>
  <c r="C15" i="18"/>
  <c r="D15" i="18"/>
  <c r="E15" i="18"/>
  <c r="C16" i="18"/>
  <c r="D16" i="18"/>
  <c r="E16" i="18"/>
  <c r="C17" i="18"/>
  <c r="D17" i="18"/>
  <c r="E17" i="18"/>
  <c r="C18" i="18"/>
  <c r="D18" i="18"/>
  <c r="E18" i="18"/>
  <c r="C19" i="18"/>
  <c r="D19" i="18"/>
  <c r="E19" i="18"/>
  <c r="C20" i="18"/>
  <c r="D20" i="18"/>
  <c r="E20" i="18"/>
  <c r="C21" i="18"/>
  <c r="D21" i="18"/>
  <c r="E21" i="18"/>
  <c r="C22" i="18"/>
  <c r="D22" i="18"/>
  <c r="E22" i="18"/>
  <c r="C23" i="18"/>
  <c r="D23" i="18"/>
  <c r="E23" i="18"/>
  <c r="C24" i="18"/>
  <c r="D24" i="18"/>
  <c r="E24" i="18"/>
  <c r="C25" i="18"/>
  <c r="D25" i="18"/>
  <c r="E25" i="18"/>
  <c r="C26" i="18"/>
  <c r="D26" i="18"/>
  <c r="E26" i="18"/>
  <c r="C27" i="18"/>
  <c r="D27" i="18"/>
  <c r="E27" i="18"/>
  <c r="C28" i="18"/>
  <c r="D28" i="18"/>
  <c r="E28" i="18"/>
  <c r="C29" i="18"/>
  <c r="D29" i="18"/>
  <c r="E29" i="18"/>
  <c r="C30" i="18"/>
  <c r="D30" i="18"/>
  <c r="E30" i="18"/>
  <c r="C31" i="18"/>
  <c r="D31" i="18"/>
  <c r="E31" i="18"/>
  <c r="C32" i="18"/>
  <c r="D32" i="18"/>
  <c r="E32" i="18"/>
  <c r="C33" i="18"/>
  <c r="D33" i="18"/>
  <c r="E33" i="18"/>
  <c r="C34" i="18"/>
  <c r="D34" i="18"/>
  <c r="E34" i="18"/>
  <c r="C35" i="18"/>
  <c r="D35" i="18"/>
  <c r="C36" i="18"/>
  <c r="D36" i="18"/>
  <c r="E36" i="18"/>
  <c r="C37" i="18"/>
  <c r="D37" i="18"/>
  <c r="E37" i="18"/>
  <c r="C38" i="18"/>
  <c r="D38" i="18"/>
  <c r="C39" i="18"/>
  <c r="D39" i="18"/>
  <c r="E39" i="18"/>
  <c r="C40" i="18"/>
  <c r="D40" i="18"/>
  <c r="E40" i="18"/>
  <c r="C41" i="18"/>
  <c r="D41" i="18"/>
  <c r="E41" i="18"/>
  <c r="C42" i="18"/>
  <c r="D42" i="18"/>
  <c r="C43" i="18"/>
  <c r="D43" i="18"/>
  <c r="C44" i="18"/>
  <c r="D44" i="18"/>
  <c r="C45" i="18"/>
  <c r="D45" i="18"/>
  <c r="C46" i="18"/>
  <c r="D46" i="18"/>
  <c r="E46" i="18"/>
  <c r="C47" i="18"/>
  <c r="D47" i="18"/>
  <c r="E47" i="18"/>
  <c r="C48" i="18"/>
  <c r="D48" i="18"/>
  <c r="E48" i="18"/>
  <c r="C49" i="18"/>
  <c r="D49" i="18"/>
  <c r="E49" i="18"/>
  <c r="C50" i="18"/>
  <c r="D50" i="18"/>
  <c r="E50" i="18"/>
  <c r="C51" i="18"/>
  <c r="D51" i="18"/>
  <c r="E51" i="18"/>
  <c r="E3" i="18"/>
  <c r="C3" i="18"/>
  <c r="D3" i="18"/>
  <c r="B64" i="17"/>
  <c r="C64" i="17"/>
  <c r="D64" i="17"/>
  <c r="E64" i="17"/>
  <c r="G25" i="18"/>
  <c r="F36" i="17"/>
  <c r="G41" i="18"/>
  <c r="G41" i="17"/>
  <c r="F45" i="17"/>
  <c r="F63" i="17"/>
  <c r="F5" i="1"/>
  <c r="C4" i="10" s="1"/>
  <c r="A3" i="18"/>
  <c r="B3" i="18" s="1"/>
  <c r="B2" i="18"/>
  <c r="E2" i="18"/>
  <c r="D2" i="18"/>
  <c r="C2" i="18"/>
  <c r="D11" i="1"/>
  <c r="E11" i="1"/>
  <c r="F11" i="1"/>
  <c r="B2" i="17"/>
  <c r="C2" i="17"/>
  <c r="D2" i="17"/>
  <c r="E2" i="17"/>
  <c r="B13" i="2"/>
  <c r="C13" i="2"/>
  <c r="E13" i="2" s="1"/>
  <c r="F2" i="17" s="1"/>
  <c r="C2" i="9"/>
  <c r="D2" i="9"/>
  <c r="F2" i="9"/>
  <c r="I1" i="17"/>
  <c r="H1" i="17"/>
  <c r="G1" i="17"/>
  <c r="F1" i="17"/>
  <c r="E1" i="17"/>
  <c r="D1" i="17"/>
  <c r="C1" i="17"/>
  <c r="B1" i="17"/>
  <c r="A1" i="17"/>
  <c r="A1" i="2"/>
  <c r="A2" i="2"/>
  <c r="F6" i="2"/>
  <c r="A8" i="2"/>
  <c r="A9" i="2"/>
  <c r="A10" i="2"/>
  <c r="L2" i="6"/>
  <c r="A2" i="17"/>
  <c r="A13" i="2"/>
  <c r="A11" i="1"/>
  <c r="A2" i="9"/>
  <c r="G2" i="17"/>
  <c r="G64" i="17"/>
  <c r="I52" i="17"/>
  <c r="G20" i="18"/>
  <c r="F51" i="17"/>
  <c r="I48" i="17"/>
  <c r="H50" i="17"/>
  <c r="F47" i="17"/>
  <c r="F50" i="17"/>
  <c r="E45" i="18"/>
  <c r="I24" i="17"/>
  <c r="H63" i="17"/>
  <c r="G44" i="17"/>
  <c r="E37" i="17"/>
  <c r="F49" i="17"/>
  <c r="I51" i="17"/>
  <c r="G27" i="18"/>
  <c r="H26" i="17"/>
  <c r="I26" i="17"/>
  <c r="G46" i="17"/>
  <c r="I46" i="17"/>
  <c r="H25" i="17"/>
  <c r="I25" i="17"/>
  <c r="G26" i="18"/>
  <c r="H47" i="17"/>
  <c r="G48" i="18"/>
  <c r="I47" i="17"/>
  <c r="E54" i="17"/>
  <c r="H53" i="17"/>
  <c r="I53" i="17"/>
  <c r="H48" i="17"/>
  <c r="G50" i="17"/>
  <c r="H46" i="17"/>
  <c r="H51" i="17"/>
  <c r="H49" i="17"/>
  <c r="E43" i="17"/>
  <c r="E44" i="18"/>
  <c r="G47" i="18"/>
  <c r="F46" i="17"/>
  <c r="H24" i="17"/>
  <c r="H52" i="17"/>
  <c r="E35" i="18"/>
  <c r="E41" i="17"/>
  <c r="E55" i="17"/>
  <c r="E43" i="18"/>
  <c r="E44" i="17"/>
  <c r="E34" i="17"/>
  <c r="E42" i="17"/>
  <c r="H36" i="17"/>
  <c r="I50" i="17"/>
  <c r="G50" i="18"/>
  <c r="I63" i="17"/>
  <c r="G37" i="18"/>
  <c r="I36" i="17"/>
  <c r="A36" i="17"/>
  <c r="A46" i="17"/>
  <c r="A47" i="17"/>
  <c r="A48" i="17"/>
  <c r="A63" i="17"/>
  <c r="A49" i="17"/>
  <c r="A50" i="17"/>
  <c r="A51" i="17"/>
  <c r="A52" i="17"/>
  <c r="A53" i="17"/>
  <c r="H40" i="17"/>
  <c r="G12" i="17"/>
  <c r="H62" i="17"/>
  <c r="I62" i="17"/>
  <c r="G38" i="17"/>
  <c r="F41" i="17"/>
  <c r="I39" i="17"/>
  <c r="I38" i="17"/>
  <c r="G45" i="17"/>
  <c r="F38" i="17"/>
  <c r="F37" i="17"/>
  <c r="F54" i="17"/>
  <c r="G42" i="17"/>
  <c r="H45" i="17"/>
  <c r="G46" i="18"/>
  <c r="I45" i="17"/>
  <c r="F44" i="17"/>
  <c r="I41" i="17"/>
  <c r="G43" i="18"/>
  <c r="F40" i="17"/>
  <c r="H54" i="17"/>
  <c r="G42" i="18"/>
  <c r="F42" i="17"/>
  <c r="F39" i="17"/>
  <c r="I40" i="17"/>
  <c r="G44" i="18"/>
  <c r="I59" i="17"/>
  <c r="H59" i="17"/>
  <c r="F64" i="17"/>
  <c r="G40" i="18"/>
  <c r="H39" i="17"/>
  <c r="H60" i="17"/>
  <c r="I60" i="17"/>
  <c r="G14" i="17"/>
  <c r="G28" i="17"/>
  <c r="H55" i="17"/>
  <c r="H41" i="17"/>
  <c r="F43" i="17"/>
  <c r="G39" i="17"/>
  <c r="H56" i="17"/>
  <c r="G37" i="17"/>
  <c r="G43" i="17"/>
  <c r="G16" i="17"/>
  <c r="G34" i="17"/>
  <c r="G13" i="17"/>
  <c r="G22" i="17"/>
  <c r="G33" i="17"/>
  <c r="G23" i="17"/>
  <c r="G19" i="17"/>
  <c r="G8" i="17"/>
  <c r="G9" i="17"/>
  <c r="G39" i="18"/>
  <c r="H38" i="17"/>
  <c r="G55" i="17"/>
  <c r="I55" i="17"/>
  <c r="G27" i="17"/>
  <c r="H43" i="17"/>
  <c r="H42" i="17"/>
  <c r="I42" i="17"/>
  <c r="G38" i="18"/>
  <c r="H37" i="17"/>
  <c r="I43" i="17"/>
  <c r="I37" i="17"/>
  <c r="H44" i="17"/>
  <c r="G45" i="18"/>
  <c r="I44" i="17"/>
  <c r="G54" i="17"/>
  <c r="H61" i="17"/>
  <c r="I61" i="17"/>
  <c r="I54" i="17"/>
  <c r="I57" i="17"/>
  <c r="H57" i="17"/>
  <c r="G49" i="18"/>
  <c r="I58" i="17"/>
  <c r="H58" i="17"/>
  <c r="G51" i="18"/>
  <c r="H64" i="17"/>
  <c r="I64" i="17"/>
  <c r="G7" i="17"/>
  <c r="G17" i="17"/>
  <c r="G21" i="17"/>
  <c r="G11" i="17"/>
  <c r="G15" i="17"/>
  <c r="G32" i="17"/>
  <c r="G18" i="17"/>
  <c r="G29" i="17"/>
  <c r="A39" i="17"/>
  <c r="A40" i="17"/>
  <c r="A41" i="17"/>
  <c r="A42" i="17"/>
  <c r="A43" i="17"/>
  <c r="A44" i="17"/>
  <c r="A45" i="17"/>
  <c r="A54" i="17"/>
  <c r="A55" i="17"/>
  <c r="A56" i="17"/>
  <c r="A57" i="17"/>
  <c r="A58" i="17"/>
  <c r="A59" i="17"/>
  <c r="A60" i="17"/>
  <c r="A61" i="17"/>
  <c r="A62" i="17"/>
  <c r="A64" i="17"/>
  <c r="A38" i="17"/>
  <c r="A37" i="17"/>
  <c r="G3" i="17"/>
  <c r="A34" i="17"/>
  <c r="A35" i="17"/>
  <c r="G36" i="18"/>
  <c r="I35" i="17"/>
  <c r="H34" i="17"/>
  <c r="I34" i="17"/>
  <c r="H31" i="17"/>
  <c r="G10" i="18"/>
  <c r="H30" i="17"/>
  <c r="H10" i="17"/>
  <c r="H33" i="17"/>
  <c r="F33" i="17"/>
  <c r="I32" i="17"/>
  <c r="G31" i="18"/>
  <c r="H32" i="17"/>
  <c r="F30" i="17"/>
  <c r="F32" i="17"/>
  <c r="F31" i="17"/>
  <c r="A10" i="17"/>
  <c r="A30" i="17"/>
  <c r="A31" i="17"/>
  <c r="A32" i="17"/>
  <c r="A33" i="17"/>
  <c r="G7" i="18"/>
  <c r="G28" i="18"/>
  <c r="I27" i="17"/>
  <c r="H6" i="17"/>
  <c r="G17" i="18"/>
  <c r="G19" i="18"/>
  <c r="H17" i="17"/>
  <c r="H19" i="17"/>
  <c r="G24" i="18"/>
  <c r="G5" i="18"/>
  <c r="G21" i="18"/>
  <c r="G22" i="18"/>
  <c r="G12" i="18"/>
  <c r="H7" i="17"/>
  <c r="G2" i="18"/>
  <c r="H14" i="17"/>
  <c r="G9" i="18"/>
  <c r="I21" i="17"/>
  <c r="H16" i="17"/>
  <c r="G4" i="18"/>
  <c r="H12" i="17"/>
  <c r="G6" i="18"/>
  <c r="H4" i="17"/>
  <c r="G30" i="18"/>
  <c r="G18" i="18"/>
  <c r="H18" i="17"/>
  <c r="H29" i="17"/>
  <c r="H22" i="17"/>
  <c r="G15" i="18"/>
  <c r="G11" i="18"/>
  <c r="H3" i="17"/>
  <c r="H13" i="17"/>
  <c r="G3" i="18"/>
  <c r="H28" i="17"/>
  <c r="G8" i="18"/>
  <c r="H20" i="17"/>
  <c r="G29" i="18"/>
  <c r="H9" i="17"/>
  <c r="H65" i="17"/>
  <c r="A3" i="17"/>
  <c r="A4" i="17"/>
  <c r="A5" i="17"/>
  <c r="A6" i="17"/>
  <c r="A7" i="17"/>
  <c r="A8" i="17"/>
  <c r="A9" i="17"/>
  <c r="A11" i="17"/>
  <c r="A12" i="17"/>
  <c r="A13" i="17"/>
  <c r="A14" i="17"/>
  <c r="A15" i="17"/>
  <c r="A16" i="17"/>
  <c r="A17" i="17"/>
  <c r="A18" i="17"/>
  <c r="A19" i="17"/>
  <c r="A20" i="17"/>
  <c r="A21" i="17"/>
  <c r="A22" i="17"/>
  <c r="A23" i="17"/>
  <c r="A27" i="17"/>
  <c r="A28" i="17"/>
  <c r="A29" i="17"/>
  <c r="I2" i="17"/>
  <c r="F29" i="17"/>
  <c r="F27" i="17"/>
  <c r="F23" i="17"/>
  <c r="F19" i="17"/>
  <c r="F22" i="17"/>
  <c r="F9" i="17"/>
  <c r="F8" i="17"/>
  <c r="F13" i="17"/>
  <c r="F11" i="17"/>
  <c r="F18" i="17"/>
  <c r="F24" i="18"/>
  <c r="R143" i="6"/>
  <c r="G99" i="1"/>
  <c r="S64" i="6"/>
  <c r="S86" i="6"/>
  <c r="G78" i="1"/>
  <c r="G54" i="1"/>
  <c r="S55" i="6"/>
  <c r="G126" i="1"/>
  <c r="G62" i="1"/>
  <c r="G49" i="1"/>
  <c r="S53" i="6"/>
  <c r="G90" i="10"/>
  <c r="C10" i="22"/>
  <c r="E116" i="2"/>
  <c r="E114" i="2"/>
  <c r="E100" i="2"/>
  <c r="E98" i="2"/>
  <c r="S22" i="6"/>
  <c r="F13" i="22"/>
  <c r="G15" i="1"/>
  <c r="F93" i="22"/>
  <c r="L123" i="6"/>
  <c r="N123" i="6" s="1"/>
  <c r="O123" i="6" s="1"/>
  <c r="Q123" i="6" s="1"/>
  <c r="F53" i="22"/>
  <c r="L62" i="6"/>
  <c r="N62" i="6" s="1"/>
  <c r="S62" i="6"/>
  <c r="L94" i="6"/>
  <c r="N94" i="6" s="1"/>
  <c r="F98" i="22"/>
  <c r="L107" i="6"/>
  <c r="N107" i="6" s="1"/>
  <c r="G131" i="1"/>
  <c r="F130" i="22"/>
  <c r="L128" i="6"/>
  <c r="N128" i="6" s="1"/>
  <c r="L26" i="6"/>
  <c r="N26" i="6" s="1"/>
  <c r="O26" i="6" s="1"/>
  <c r="Q26" i="6" s="1"/>
  <c r="G99" i="10"/>
  <c r="G131" i="10"/>
  <c r="L59" i="6"/>
  <c r="T59" i="6" s="1"/>
  <c r="V59" i="6" s="1"/>
  <c r="G31" i="10"/>
  <c r="S51" i="6"/>
  <c r="F85" i="22"/>
  <c r="L109" i="6"/>
  <c r="N109" i="6" s="1"/>
  <c r="O109" i="6" s="1"/>
  <c r="Q109" i="6" s="1"/>
  <c r="G24" i="1"/>
  <c r="L32" i="6"/>
  <c r="N32" i="6" s="1"/>
  <c r="S32" i="6"/>
  <c r="L45" i="6"/>
  <c r="T45" i="6" s="1"/>
  <c r="V45" i="6" s="1"/>
  <c r="L22" i="6"/>
  <c r="S61" i="6"/>
  <c r="S40" i="6"/>
  <c r="L118" i="6"/>
  <c r="N118" i="6" s="1"/>
  <c r="O118" i="6" s="1"/>
  <c r="Q118" i="6" s="1"/>
  <c r="F76" i="22"/>
  <c r="L38" i="6"/>
  <c r="T38" i="6" s="1"/>
  <c r="V38" i="6" s="1"/>
  <c r="G56" i="1"/>
  <c r="G73" i="10"/>
  <c r="L64" i="6"/>
  <c r="T64" i="6" s="1"/>
  <c r="V64" i="6" s="1"/>
  <c r="F92" i="22"/>
  <c r="L51" i="6"/>
  <c r="N51" i="6" s="1"/>
  <c r="F29" i="22"/>
  <c r="G54" i="10"/>
  <c r="S73" i="6"/>
  <c r="G117" i="10"/>
  <c r="S38" i="6"/>
  <c r="G43" i="1"/>
  <c r="G44" i="10"/>
  <c r="G69" i="10"/>
  <c r="G122" i="9"/>
  <c r="F63" i="22"/>
  <c r="G64" i="1"/>
  <c r="L72" i="6"/>
  <c r="N72" i="6" s="1"/>
  <c r="S72" i="6"/>
  <c r="D71" i="22"/>
  <c r="G76" i="10"/>
  <c r="C68" i="22"/>
  <c r="G60" i="9"/>
  <c r="D106" i="22"/>
  <c r="D77" i="22"/>
  <c r="C44" i="22"/>
  <c r="G36" i="9"/>
  <c r="C18" i="22"/>
  <c r="G10" i="9"/>
  <c r="F7" i="18" s="1"/>
  <c r="C65" i="22"/>
  <c r="G57" i="9"/>
  <c r="C15" i="22"/>
  <c r="G7" i="9"/>
  <c r="F4" i="18" s="1"/>
  <c r="C97" i="22"/>
  <c r="G89" i="9"/>
  <c r="G26" i="10"/>
  <c r="G25" i="9"/>
  <c r="F22" i="18" s="1"/>
  <c r="C33" i="22"/>
  <c r="G22" i="9"/>
  <c r="F19" i="18" s="1"/>
  <c r="C30" i="22"/>
  <c r="G123" i="9"/>
  <c r="G105" i="9"/>
  <c r="G99" i="9"/>
  <c r="G97" i="9"/>
  <c r="G95" i="9"/>
  <c r="G91" i="9"/>
  <c r="G71" i="9"/>
  <c r="G69" i="9"/>
  <c r="G65" i="9"/>
  <c r="G63" i="9"/>
  <c r="G61" i="9"/>
  <c r="G55" i="9"/>
  <c r="G51" i="9"/>
  <c r="G47" i="9"/>
  <c r="C27" i="22"/>
  <c r="C43" i="22"/>
  <c r="G14" i="9"/>
  <c r="F12" i="18" s="1"/>
  <c r="G8" i="9"/>
  <c r="F5" i="18" s="1"/>
  <c r="C16" i="22"/>
  <c r="C13" i="22"/>
  <c r="G5" i="9"/>
  <c r="G38" i="9"/>
  <c r="C32" i="22"/>
  <c r="G20" i="9"/>
  <c r="F17" i="18" s="1"/>
  <c r="G15" i="9"/>
  <c r="F13" i="18" s="1"/>
  <c r="C52" i="22"/>
  <c r="G41" i="9"/>
  <c r="C49" i="22"/>
  <c r="C37" i="22"/>
  <c r="G6" i="9"/>
  <c r="F3" i="18" s="1"/>
  <c r="G120" i="9"/>
  <c r="G98" i="9"/>
  <c r="G84" i="9"/>
  <c r="G74" i="9"/>
  <c r="G66" i="9"/>
  <c r="G64" i="9"/>
  <c r="G54" i="9"/>
  <c r="G50" i="9"/>
  <c r="G12" i="9"/>
  <c r="F9" i="18" s="1"/>
  <c r="C20" i="22"/>
  <c r="G28" i="9"/>
  <c r="G33" i="9"/>
  <c r="C41" i="22"/>
  <c r="G27" i="9"/>
  <c r="C35" i="22"/>
  <c r="G30" i="9"/>
  <c r="G21" i="9"/>
  <c r="F18" i="18" s="1"/>
  <c r="T22" i="6"/>
  <c r="V22" i="6" s="1"/>
  <c r="F114" i="22"/>
  <c r="X123" i="6"/>
  <c r="G18" i="1"/>
  <c r="F25" i="22"/>
  <c r="F17" i="22"/>
  <c r="S42" i="6"/>
  <c r="L115" i="6"/>
  <c r="N115" i="6" s="1"/>
  <c r="O115" i="6" s="1"/>
  <c r="Q115" i="6" s="1"/>
  <c r="G51" i="1"/>
  <c r="G34" i="1"/>
  <c r="G128" i="1"/>
  <c r="G83" i="1"/>
  <c r="L42" i="6"/>
  <c r="T42" i="6" s="1"/>
  <c r="V42" i="6" s="1"/>
  <c r="F125" i="22"/>
  <c r="G122" i="1"/>
  <c r="L80" i="6"/>
  <c r="T80" i="6" s="1"/>
  <c r="V80" i="6" s="1"/>
  <c r="G72" i="1"/>
  <c r="S80" i="6"/>
  <c r="S136" i="6"/>
  <c r="L91" i="6"/>
  <c r="N91" i="6" s="1"/>
  <c r="L31" i="6"/>
  <c r="N31" i="6" s="1"/>
  <c r="O31" i="6" s="1"/>
  <c r="Q31" i="6" s="1"/>
  <c r="S91" i="6"/>
  <c r="G107" i="1"/>
  <c r="L136" i="6"/>
  <c r="N136" i="6" s="1"/>
  <c r="O136" i="6" s="1"/>
  <c r="Q136" i="6" s="1"/>
  <c r="N130" i="6"/>
  <c r="O130" i="6" s="1"/>
  <c r="Q130" i="6" s="1"/>
  <c r="G91" i="1"/>
  <c r="S78" i="6"/>
  <c r="G123" i="1"/>
  <c r="G16" i="1"/>
  <c r="L78" i="6"/>
  <c r="N78" i="6" s="1"/>
  <c r="O78" i="6" s="1"/>
  <c r="Q78" i="6" s="1"/>
  <c r="L131" i="6"/>
  <c r="N131" i="6" s="1"/>
  <c r="S34" i="6"/>
  <c r="G26" i="1"/>
  <c r="L99" i="6"/>
  <c r="N99" i="6" s="1"/>
  <c r="G70" i="1"/>
  <c r="L24" i="6"/>
  <c r="N24" i="6" s="1"/>
  <c r="O24" i="6" s="1"/>
  <c r="Q24" i="6" s="1"/>
  <c r="L113" i="6"/>
  <c r="N113" i="6" s="1"/>
  <c r="S24" i="6"/>
  <c r="F108" i="22"/>
  <c r="S131" i="6"/>
  <c r="T34" i="6"/>
  <c r="V34" i="6" s="1"/>
  <c r="N34" i="6"/>
  <c r="O34" i="6" s="1"/>
  <c r="Q34" i="6" s="1"/>
  <c r="S43" i="6"/>
  <c r="L43" i="6"/>
  <c r="N43" i="6" s="1"/>
  <c r="F34" i="22"/>
  <c r="G35" i="1"/>
  <c r="F87" i="22"/>
  <c r="G88" i="1"/>
  <c r="L96" i="6"/>
  <c r="N96" i="6" s="1"/>
  <c r="L65" i="6"/>
  <c r="L46" i="6"/>
  <c r="N46" i="6" s="1"/>
  <c r="O46" i="6" s="1"/>
  <c r="Q46" i="6" s="1"/>
  <c r="S46" i="6"/>
  <c r="F37" i="22"/>
  <c r="G38" i="1"/>
  <c r="F21" i="22"/>
  <c r="L30" i="6"/>
  <c r="T30" i="6" s="1"/>
  <c r="V30" i="6" s="1"/>
  <c r="S30" i="6"/>
  <c r="G22" i="1"/>
  <c r="S88" i="6"/>
  <c r="F79" i="22"/>
  <c r="L88" i="6"/>
  <c r="N88" i="6" s="1"/>
  <c r="G80" i="1"/>
  <c r="N81" i="6" l="1"/>
  <c r="O81" i="6" s="1"/>
  <c r="Q81" i="6" s="1"/>
  <c r="T81" i="6"/>
  <c r="V81" i="6" s="1"/>
  <c r="S81" i="6"/>
  <c r="S41" i="6"/>
  <c r="G137" i="10"/>
  <c r="F132" i="22"/>
  <c r="F56" i="22"/>
  <c r="L49" i="6"/>
  <c r="T49" i="6" s="1"/>
  <c r="V49" i="6" s="1"/>
  <c r="L105" i="6"/>
  <c r="N105" i="6" s="1"/>
  <c r="L57" i="6"/>
  <c r="N57" i="6" s="1"/>
  <c r="S49" i="6"/>
  <c r="L89" i="6"/>
  <c r="T89" i="6" s="1"/>
  <c r="V89" i="6" s="1"/>
  <c r="G95" i="10"/>
  <c r="G57" i="1"/>
  <c r="L121" i="6"/>
  <c r="N121" i="6" s="1"/>
  <c r="O121" i="6" s="1"/>
  <c r="Q121" i="6" s="1"/>
  <c r="F72" i="22"/>
  <c r="S89" i="6"/>
  <c r="G133" i="1"/>
  <c r="F133" i="22"/>
  <c r="G97" i="1"/>
  <c r="G134" i="10"/>
  <c r="G138" i="10"/>
  <c r="G134" i="1"/>
  <c r="S65" i="6"/>
  <c r="G105" i="1"/>
  <c r="F80" i="22"/>
  <c r="S57" i="6"/>
  <c r="B140" i="2"/>
  <c r="B139" i="2"/>
  <c r="G89" i="10"/>
  <c r="G118" i="9"/>
  <c r="G61" i="10"/>
  <c r="G83" i="9"/>
  <c r="G94" i="9"/>
  <c r="G86" i="9"/>
  <c r="G67" i="9"/>
  <c r="G4" i="9"/>
  <c r="C61" i="22"/>
  <c r="G78" i="9"/>
  <c r="G81" i="9"/>
  <c r="C26" i="22"/>
  <c r="G32" i="9"/>
  <c r="G115" i="10"/>
  <c r="G85" i="10"/>
  <c r="G100" i="9"/>
  <c r="G40" i="10"/>
  <c r="G20" i="10"/>
  <c r="J4" i="22"/>
  <c r="L92" i="6"/>
  <c r="T92" i="6" s="1"/>
  <c r="V92" i="6" s="1"/>
  <c r="F27" i="22"/>
  <c r="L60" i="6"/>
  <c r="T60" i="6" s="1"/>
  <c r="V60" i="6" s="1"/>
  <c r="G130" i="10"/>
  <c r="G114" i="10"/>
  <c r="G70" i="10"/>
  <c r="L20" i="6"/>
  <c r="T20" i="6" s="1"/>
  <c r="V20" i="6" s="1"/>
  <c r="F35" i="22"/>
  <c r="N70" i="6"/>
  <c r="O70" i="6" s="1"/>
  <c r="Q70" i="6" s="1"/>
  <c r="S20" i="6"/>
  <c r="G68" i="10"/>
  <c r="G12" i="1"/>
  <c r="G57" i="10"/>
  <c r="G28" i="1"/>
  <c r="S28" i="6"/>
  <c r="F115" i="22"/>
  <c r="G20" i="1"/>
  <c r="F19" i="22"/>
  <c r="G124" i="10"/>
  <c r="G116" i="10"/>
  <c r="G108" i="10"/>
  <c r="G83" i="10"/>
  <c r="G47" i="10"/>
  <c r="G33" i="10"/>
  <c r="G143" i="6"/>
  <c r="A1" i="12" s="1"/>
  <c r="B1" i="12" s="1"/>
  <c r="T26" i="6"/>
  <c r="V26" i="6" s="1"/>
  <c r="F127" i="22"/>
  <c r="F61" i="22"/>
  <c r="F36" i="22"/>
  <c r="T72" i="6"/>
  <c r="V72" i="6" s="1"/>
  <c r="L86" i="6"/>
  <c r="L101" i="6"/>
  <c r="N101" i="6" s="1"/>
  <c r="O101" i="6" s="1"/>
  <c r="Q101" i="6" s="1"/>
  <c r="G30" i="1"/>
  <c r="F69" i="22"/>
  <c r="S69" i="6"/>
  <c r="G77" i="1"/>
  <c r="G45" i="1"/>
  <c r="F44" i="22"/>
  <c r="S39" i="6"/>
  <c r="L117" i="6"/>
  <c r="N117" i="6" s="1"/>
  <c r="O117" i="6" s="1"/>
  <c r="Q117" i="6" s="1"/>
  <c r="G61" i="1"/>
  <c r="L111" i="6"/>
  <c r="N111" i="6" s="1"/>
  <c r="L85" i="6"/>
  <c r="L119" i="6"/>
  <c r="N119" i="6" s="1"/>
  <c r="O119" i="6" s="1"/>
  <c r="Q119" i="6" s="1"/>
  <c r="F94" i="22"/>
  <c r="S45" i="6"/>
  <c r="L93" i="6"/>
  <c r="N93" i="6" s="1"/>
  <c r="L77" i="6"/>
  <c r="T77" i="6" s="1"/>
  <c r="V77" i="6" s="1"/>
  <c r="G31" i="1"/>
  <c r="G109" i="1"/>
  <c r="F126" i="22"/>
  <c r="N89" i="6"/>
  <c r="O89" i="6" s="1"/>
  <c r="Q89" i="6" s="1"/>
  <c r="G127" i="1"/>
  <c r="G111" i="1"/>
  <c r="F12" i="22"/>
  <c r="S37" i="6"/>
  <c r="L23" i="6"/>
  <c r="T23" i="6" s="1"/>
  <c r="V23" i="6" s="1"/>
  <c r="G69" i="1"/>
  <c r="L39" i="6"/>
  <c r="N39" i="6" s="1"/>
  <c r="F100" i="22"/>
  <c r="S31" i="6"/>
  <c r="G93" i="1"/>
  <c r="L103" i="6"/>
  <c r="N103" i="6" s="1"/>
  <c r="O103" i="6" s="1"/>
  <c r="Q103" i="6" s="1"/>
  <c r="G37" i="1"/>
  <c r="S135" i="6"/>
  <c r="F14" i="22"/>
  <c r="S77" i="6"/>
  <c r="F30" i="22"/>
  <c r="G53" i="1"/>
  <c r="F110" i="22"/>
  <c r="F60" i="22"/>
  <c r="S23" i="6"/>
  <c r="F68" i="22"/>
  <c r="L69" i="6"/>
  <c r="N69" i="6" s="1"/>
  <c r="O69" i="6" s="1"/>
  <c r="Q69" i="6" s="1"/>
  <c r="L61" i="6"/>
  <c r="T61" i="6" s="1"/>
  <c r="V61" i="6" s="1"/>
  <c r="L53" i="6"/>
  <c r="N53" i="6" s="1"/>
  <c r="O53" i="6" s="1"/>
  <c r="Q53" i="6" s="1"/>
  <c r="F83" i="22"/>
  <c r="G108" i="1"/>
  <c r="S76" i="6"/>
  <c r="G76" i="1"/>
  <c r="G100" i="1"/>
  <c r="L29" i="6"/>
  <c r="T29" i="6" s="1"/>
  <c r="V29" i="6" s="1"/>
  <c r="G21" i="1"/>
  <c r="L132" i="6"/>
  <c r="N132" i="6" s="1"/>
  <c r="L68" i="6"/>
  <c r="T68" i="6" s="1"/>
  <c r="V68" i="6" s="1"/>
  <c r="G29" i="1"/>
  <c r="G68" i="1"/>
  <c r="G60" i="1"/>
  <c r="S21" i="6"/>
  <c r="G36" i="1"/>
  <c r="L37" i="6"/>
  <c r="T37" i="6" s="1"/>
  <c r="V37" i="6" s="1"/>
  <c r="G116" i="1"/>
  <c r="F33" i="22"/>
  <c r="G124" i="1"/>
  <c r="S19" i="6"/>
  <c r="F59" i="22"/>
  <c r="G44" i="1"/>
  <c r="S68" i="6"/>
  <c r="L21" i="6"/>
  <c r="N21" i="6" s="1"/>
  <c r="G11" i="1"/>
  <c r="F107" i="22"/>
  <c r="G92" i="1"/>
  <c r="L52" i="6"/>
  <c r="T52" i="6" s="1"/>
  <c r="V52" i="6" s="1"/>
  <c r="L116" i="6"/>
  <c r="N116" i="6" s="1"/>
  <c r="O116" i="6" s="1"/>
  <c r="Q116" i="6" s="1"/>
  <c r="F75" i="22"/>
  <c r="F43" i="22"/>
  <c r="X142" i="6"/>
  <c r="L108" i="6"/>
  <c r="N108" i="6" s="1"/>
  <c r="L100" i="6"/>
  <c r="N100" i="6" s="1"/>
  <c r="O100" i="6" s="1"/>
  <c r="Q100" i="6" s="1"/>
  <c r="F20" i="22"/>
  <c r="F28" i="22"/>
  <c r="L84" i="6"/>
  <c r="T84" i="6" s="1"/>
  <c r="V84" i="6" s="1"/>
  <c r="G101" i="1"/>
  <c r="X141" i="6"/>
  <c r="G84" i="1"/>
  <c r="S44" i="6"/>
  <c r="L124" i="6"/>
  <c r="N124" i="6" s="1"/>
  <c r="O124" i="6" s="1"/>
  <c r="Q124" i="6" s="1"/>
  <c r="F91" i="22"/>
  <c r="G13" i="1"/>
  <c r="L76" i="6"/>
  <c r="F99" i="22"/>
  <c r="F67" i="22"/>
  <c r="L44" i="6"/>
  <c r="S92" i="6"/>
  <c r="S29" i="6"/>
  <c r="S52" i="6"/>
  <c r="S84" i="6"/>
  <c r="F10" i="22"/>
  <c r="F121" i="22"/>
  <c r="F73" i="22"/>
  <c r="F129" i="22"/>
  <c r="G58" i="1"/>
  <c r="N45" i="6"/>
  <c r="T43" i="6"/>
  <c r="V43" i="6" s="1"/>
  <c r="S138" i="6"/>
  <c r="S74" i="6"/>
  <c r="S130" i="6"/>
  <c r="G123" i="10"/>
  <c r="G32" i="10"/>
  <c r="G130" i="1"/>
  <c r="S58" i="6"/>
  <c r="G62" i="9"/>
  <c r="G73" i="9"/>
  <c r="C47" i="22"/>
  <c r="G88" i="9"/>
  <c r="G79" i="9"/>
  <c r="G96" i="9"/>
  <c r="G31" i="9"/>
  <c r="G117" i="9"/>
  <c r="E129" i="2"/>
  <c r="E113" i="2"/>
  <c r="E101" i="2"/>
  <c r="G42" i="9"/>
  <c r="C90" i="22"/>
  <c r="G70" i="9"/>
  <c r="G85" i="9"/>
  <c r="G76" i="9"/>
  <c r="G104" i="9"/>
  <c r="G45" i="9"/>
  <c r="G93" i="9"/>
  <c r="G114" i="1"/>
  <c r="F57" i="22"/>
  <c r="L74" i="6"/>
  <c r="N74" i="6" s="1"/>
  <c r="O74" i="6" s="1"/>
  <c r="Q74" i="6" s="1"/>
  <c r="G106" i="1"/>
  <c r="G81" i="10"/>
  <c r="L129" i="6"/>
  <c r="N129" i="6" s="1"/>
  <c r="O129" i="6" s="1"/>
  <c r="Q129" i="6" s="1"/>
  <c r="L50" i="6"/>
  <c r="N50" i="6" s="1"/>
  <c r="O50" i="6" s="1"/>
  <c r="Q50" i="6" s="1"/>
  <c r="G79" i="10"/>
  <c r="G50" i="10"/>
  <c r="F128" i="22"/>
  <c r="F106" i="22"/>
  <c r="G19" i="1"/>
  <c r="S27" i="6"/>
  <c r="G98" i="1"/>
  <c r="D27" i="22"/>
  <c r="S137" i="6"/>
  <c r="F82" i="22"/>
  <c r="F23" i="22"/>
  <c r="L82" i="6"/>
  <c r="G35" i="10"/>
  <c r="G18" i="10"/>
  <c r="G28" i="10"/>
  <c r="G25" i="10"/>
  <c r="G22" i="10"/>
  <c r="F18" i="22"/>
  <c r="L114" i="6"/>
  <c r="N114" i="6" s="1"/>
  <c r="L137" i="6"/>
  <c r="T137" i="6" s="1"/>
  <c r="V137" i="6" s="1"/>
  <c r="G38" i="10"/>
  <c r="G27" i="1"/>
  <c r="F120" i="22"/>
  <c r="G74" i="1"/>
  <c r="L28" i="6"/>
  <c r="T28" i="6" s="1"/>
  <c r="V28" i="6" s="1"/>
  <c r="F97" i="22"/>
  <c r="S66" i="6"/>
  <c r="G90" i="1"/>
  <c r="L35" i="6"/>
  <c r="G52" i="10"/>
  <c r="G95" i="1"/>
  <c r="F42" i="22"/>
  <c r="L27" i="6"/>
  <c r="T27" i="6" s="1"/>
  <c r="V27" i="6" s="1"/>
  <c r="F113" i="22"/>
  <c r="G42" i="1"/>
  <c r="G66" i="1"/>
  <c r="G128" i="10"/>
  <c r="G66" i="10"/>
  <c r="G121" i="1"/>
  <c r="S129" i="6"/>
  <c r="S35" i="6"/>
  <c r="G46" i="10"/>
  <c r="F11" i="22"/>
  <c r="L138" i="6"/>
  <c r="G50" i="1"/>
  <c r="L58" i="6"/>
  <c r="F89" i="22"/>
  <c r="S50" i="6"/>
  <c r="X122" i="6"/>
  <c r="G129" i="1"/>
  <c r="G120" i="10"/>
  <c r="G112" i="10"/>
  <c r="G63" i="10"/>
  <c r="G55" i="10"/>
  <c r="L140" i="6"/>
  <c r="T140" i="6" s="1"/>
  <c r="V140" i="6" s="1"/>
  <c r="G11" i="9"/>
  <c r="F8" i="18" s="1"/>
  <c r="G55" i="1"/>
  <c r="G87" i="1"/>
  <c r="T53" i="6"/>
  <c r="V53" i="6" s="1"/>
  <c r="G40" i="1"/>
  <c r="G39" i="10"/>
  <c r="G48" i="1"/>
  <c r="G17" i="1"/>
  <c r="F54" i="22"/>
  <c r="C11" i="22"/>
  <c r="T32" i="6"/>
  <c r="V32" i="6" s="1"/>
  <c r="N38" i="6"/>
  <c r="O38" i="6" s="1"/>
  <c r="Q38" i="6" s="1"/>
  <c r="G40" i="9"/>
  <c r="L133" i="6"/>
  <c r="N133" i="6" s="1"/>
  <c r="O133" i="6" s="1"/>
  <c r="Q133" i="6" s="1"/>
  <c r="F62" i="22"/>
  <c r="L87" i="6"/>
  <c r="N87" i="6" s="1"/>
  <c r="O87" i="6" s="1"/>
  <c r="Q87" i="6" s="1"/>
  <c r="D118" i="22"/>
  <c r="F109" i="22"/>
  <c r="L102" i="6"/>
  <c r="N102" i="6" s="1"/>
  <c r="L79" i="6"/>
  <c r="F86" i="22"/>
  <c r="G59" i="9"/>
  <c r="G77" i="9"/>
  <c r="G63" i="1"/>
  <c r="S79" i="6"/>
  <c r="L41" i="6"/>
  <c r="T41" i="6" s="1"/>
  <c r="V41" i="6" s="1"/>
  <c r="E133" i="2"/>
  <c r="E131" i="2"/>
  <c r="E127" i="2"/>
  <c r="E125" i="2"/>
  <c r="E123" i="2"/>
  <c r="E121" i="2"/>
  <c r="E119" i="2"/>
  <c r="E117" i="2"/>
  <c r="E115" i="2"/>
  <c r="E111" i="2"/>
  <c r="E109" i="2"/>
  <c r="E107" i="2"/>
  <c r="E105" i="2"/>
  <c r="E103" i="2"/>
  <c r="E99" i="2"/>
  <c r="G98" i="10"/>
  <c r="G91" i="10"/>
  <c r="G88" i="10"/>
  <c r="G82" i="10"/>
  <c r="G60" i="10"/>
  <c r="C45" i="22"/>
  <c r="G117" i="1"/>
  <c r="G71" i="1"/>
  <c r="L95" i="6"/>
  <c r="G102" i="1"/>
  <c r="L110" i="6"/>
  <c r="L48" i="6"/>
  <c r="N48" i="6" s="1"/>
  <c r="S140" i="6"/>
  <c r="C64" i="22"/>
  <c r="G34" i="9"/>
  <c r="S71" i="6"/>
  <c r="G94" i="1"/>
  <c r="G119" i="10"/>
  <c r="T78" i="6"/>
  <c r="V78" i="6" s="1"/>
  <c r="G17" i="9"/>
  <c r="F15" i="18" s="1"/>
  <c r="F131" i="22"/>
  <c r="G52" i="9"/>
  <c r="G109" i="10"/>
  <c r="S63" i="6"/>
  <c r="F101" i="22"/>
  <c r="G23" i="10"/>
  <c r="F116" i="22"/>
  <c r="G132" i="1"/>
  <c r="L125" i="6"/>
  <c r="N125" i="6" s="1"/>
  <c r="O125" i="6" s="1"/>
  <c r="Q125" i="6" s="1"/>
  <c r="G110" i="1"/>
  <c r="F70" i="22"/>
  <c r="L56" i="6"/>
  <c r="T56" i="6" s="1"/>
  <c r="V56" i="6" s="1"/>
  <c r="G33" i="1"/>
  <c r="S56" i="6"/>
  <c r="G78" i="10"/>
  <c r="L63" i="6"/>
  <c r="F49" i="22"/>
  <c r="N30" i="6"/>
  <c r="O30" i="6" s="1"/>
  <c r="Q30" i="6" s="1"/>
  <c r="T136" i="6"/>
  <c r="V136" i="6" s="1"/>
  <c r="L83" i="6"/>
  <c r="T83" i="6" s="1"/>
  <c r="V83" i="6" s="1"/>
  <c r="O62" i="6"/>
  <c r="Q62" i="6" s="1"/>
  <c r="G82" i="1"/>
  <c r="N67" i="6"/>
  <c r="O67" i="6" s="1"/>
  <c r="Q67" i="6" s="1"/>
  <c r="G59" i="1"/>
  <c r="L120" i="6"/>
  <c r="N120" i="6" s="1"/>
  <c r="O120" i="6" s="1"/>
  <c r="Q120" i="6" s="1"/>
  <c r="L33" i="6"/>
  <c r="G17" i="10"/>
  <c r="G97" i="10"/>
  <c r="G51" i="10"/>
  <c r="F74" i="22"/>
  <c r="F58" i="22"/>
  <c r="F16" i="22"/>
  <c r="G81" i="1"/>
  <c r="L66" i="6"/>
  <c r="G75" i="1"/>
  <c r="G106" i="9"/>
  <c r="F111" i="22"/>
  <c r="G37" i="10"/>
  <c r="G34" i="10"/>
  <c r="G24" i="10"/>
  <c r="L104" i="6"/>
  <c r="N104" i="6" s="1"/>
  <c r="O104" i="6" s="1"/>
  <c r="Q104" i="6" s="1"/>
  <c r="G49" i="9"/>
  <c r="O51" i="6"/>
  <c r="Q51" i="6" s="1"/>
  <c r="G39" i="1"/>
  <c r="S47" i="6"/>
  <c r="S67" i="6"/>
  <c r="S83" i="6"/>
  <c r="F117" i="22"/>
  <c r="G25" i="1"/>
  <c r="L25" i="6"/>
  <c r="G102" i="10"/>
  <c r="D86" i="22"/>
  <c r="G84" i="10"/>
  <c r="G58" i="10"/>
  <c r="G133" i="10"/>
  <c r="L134" i="6"/>
  <c r="L40" i="6"/>
  <c r="T62" i="6"/>
  <c r="V62" i="6" s="1"/>
  <c r="G90" i="9"/>
  <c r="G87" i="9"/>
  <c r="G119" i="9"/>
  <c r="G74" i="10"/>
  <c r="F48" i="22"/>
  <c r="F41" i="22"/>
  <c r="N49" i="6"/>
  <c r="O49" i="6" s="1"/>
  <c r="Q49" i="6" s="1"/>
  <c r="L90" i="6"/>
  <c r="G26" i="9"/>
  <c r="F23" i="18" s="1"/>
  <c r="C129" i="22"/>
  <c r="G67" i="1"/>
  <c r="N60" i="6"/>
  <c r="O60" i="6" s="1"/>
  <c r="Q60" i="6" s="1"/>
  <c r="L54" i="6"/>
  <c r="F31" i="22"/>
  <c r="S54" i="6"/>
  <c r="G15" i="10"/>
  <c r="S33" i="6"/>
  <c r="F45" i="22"/>
  <c r="G96" i="1"/>
  <c r="G46" i="9"/>
  <c r="G72" i="9"/>
  <c r="G16" i="9"/>
  <c r="F14" i="18" s="1"/>
  <c r="C88" i="22"/>
  <c r="L75" i="6"/>
  <c r="N75" i="6" s="1"/>
  <c r="O75" i="6" s="1"/>
  <c r="Q75" i="6" s="1"/>
  <c r="G46" i="1"/>
  <c r="L47" i="6"/>
  <c r="T47" i="6" s="1"/>
  <c r="V47" i="6" s="1"/>
  <c r="G32" i="1"/>
  <c r="S134" i="6"/>
  <c r="G129" i="10"/>
  <c r="G126" i="10"/>
  <c r="G48" i="10"/>
  <c r="G45" i="10"/>
  <c r="G42" i="10"/>
  <c r="G135" i="10"/>
  <c r="S75" i="6"/>
  <c r="G89" i="1"/>
  <c r="F81" i="22"/>
  <c r="G13" i="9"/>
  <c r="F11" i="18" s="1"/>
  <c r="G9" i="9"/>
  <c r="F6" i="18" s="1"/>
  <c r="G75" i="9"/>
  <c r="F66" i="22"/>
  <c r="G112" i="1"/>
  <c r="S25" i="6"/>
  <c r="L97" i="6"/>
  <c r="N97" i="6" s="1"/>
  <c r="O97" i="6" s="1"/>
  <c r="Q97" i="6" s="1"/>
  <c r="G132" i="10"/>
  <c r="G94" i="10"/>
  <c r="G93" i="10"/>
  <c r="G62" i="10"/>
  <c r="G49" i="10"/>
  <c r="D18" i="22"/>
  <c r="F88" i="22"/>
  <c r="F24" i="22"/>
  <c r="T51" i="6"/>
  <c r="V51" i="6" s="1"/>
  <c r="G87" i="10"/>
  <c r="T88" i="6"/>
  <c r="V88" i="6" s="1"/>
  <c r="N80" i="6"/>
  <c r="O80" i="6" s="1"/>
  <c r="Q80" i="6" s="1"/>
  <c r="G58" i="9"/>
  <c r="G92" i="9"/>
  <c r="N68" i="6"/>
  <c r="O68" i="6" s="1"/>
  <c r="Q68" i="6" s="1"/>
  <c r="G23" i="9"/>
  <c r="F20" i="18" s="1"/>
  <c r="G125" i="10"/>
  <c r="G64" i="10"/>
  <c r="X106" i="6"/>
  <c r="G104" i="10"/>
  <c r="G80" i="10"/>
  <c r="F38" i="22"/>
  <c r="F32" i="22"/>
  <c r="T24" i="6"/>
  <c r="V24" i="6" s="1"/>
  <c r="G100" i="10"/>
  <c r="G86" i="10"/>
  <c r="G65" i="10"/>
  <c r="G56" i="10"/>
  <c r="O96" i="6"/>
  <c r="Q96" i="6" s="1"/>
  <c r="G43" i="9"/>
  <c r="O32" i="6"/>
  <c r="Q32" i="6" s="1"/>
  <c r="O107" i="6"/>
  <c r="Q107" i="6" s="1"/>
  <c r="G71" i="10"/>
  <c r="G36" i="10"/>
  <c r="F47" i="22"/>
  <c r="X130" i="6"/>
  <c r="X90" i="6"/>
  <c r="O43" i="6"/>
  <c r="Q43" i="6" s="1"/>
  <c r="N29" i="6"/>
  <c r="O29" i="6" s="1"/>
  <c r="Q29" i="6" s="1"/>
  <c r="G48" i="9"/>
  <c r="G68" i="9"/>
  <c r="G67" i="10"/>
  <c r="G41" i="10"/>
  <c r="G19" i="10"/>
  <c r="G110" i="10"/>
  <c r="G101" i="10"/>
  <c r="X34" i="6"/>
  <c r="G53" i="10"/>
  <c r="G30" i="10"/>
  <c r="C3" i="10"/>
  <c r="G118" i="10"/>
  <c r="G77" i="10"/>
  <c r="G72" i="10"/>
  <c r="D43" i="22"/>
  <c r="S85" i="6"/>
  <c r="X82" i="6"/>
  <c r="L135" i="6"/>
  <c r="X114" i="6"/>
  <c r="X26" i="6"/>
  <c r="T48" i="6"/>
  <c r="V48" i="6" s="1"/>
  <c r="O127" i="6"/>
  <c r="Q127" i="6" s="1"/>
  <c r="O45" i="6"/>
  <c r="Q45" i="6" s="1"/>
  <c r="N23" i="6"/>
  <c r="O23" i="6" s="1"/>
  <c r="Q23" i="6" s="1"/>
  <c r="O39" i="6"/>
  <c r="Q39" i="6" s="1"/>
  <c r="N84" i="6"/>
  <c r="O84" i="6" s="1"/>
  <c r="Q84" i="6" s="1"/>
  <c r="N59" i="6"/>
  <c r="O59" i="6" s="1"/>
  <c r="Q59" i="6" s="1"/>
  <c r="T46" i="6"/>
  <c r="V46" i="6" s="1"/>
  <c r="T131" i="6"/>
  <c r="V131" i="6" s="1"/>
  <c r="O128" i="6"/>
  <c r="Q128" i="6" s="1"/>
  <c r="N42" i="6"/>
  <c r="O42" i="6" s="1"/>
  <c r="Q42" i="6" s="1"/>
  <c r="O72" i="6"/>
  <c r="Q72" i="6" s="1"/>
  <c r="F5" i="2"/>
  <c r="N126" i="6"/>
  <c r="O126" i="6" s="1"/>
  <c r="Q126" i="6" s="1"/>
  <c r="O132" i="6"/>
  <c r="Q132" i="6" s="1"/>
  <c r="N137" i="6"/>
  <c r="O137" i="6" s="1"/>
  <c r="Q137" i="6" s="1"/>
  <c r="T65" i="6"/>
  <c r="V65" i="6" s="1"/>
  <c r="N65" i="6"/>
  <c r="O65" i="6" s="1"/>
  <c r="Q65" i="6" s="1"/>
  <c r="N64" i="6"/>
  <c r="O64" i="6" s="1"/>
  <c r="Q64" i="6" s="1"/>
  <c r="N22" i="6"/>
  <c r="O22" i="6" s="1"/>
  <c r="Q22" i="6" s="1"/>
  <c r="O113" i="6"/>
  <c r="Q113" i="6" s="1"/>
  <c r="O91" i="6"/>
  <c r="Q91" i="6" s="1"/>
  <c r="T91" i="6"/>
  <c r="V91" i="6" s="1"/>
  <c r="T31" i="6"/>
  <c r="V31" i="6" s="1"/>
  <c r="O94" i="6"/>
  <c r="Q94" i="6" s="1"/>
  <c r="D117" i="22"/>
  <c r="G122" i="10"/>
  <c r="D11" i="22"/>
  <c r="G16" i="10"/>
  <c r="X126" i="6"/>
  <c r="G118" i="1"/>
  <c r="F96" i="22"/>
  <c r="L98" i="6"/>
  <c r="X93" i="6"/>
  <c r="G85" i="1"/>
  <c r="X87" i="6"/>
  <c r="S87" i="6"/>
  <c r="F22" i="22"/>
  <c r="X31" i="6"/>
  <c r="O57" i="6"/>
  <c r="Q57" i="6" s="1"/>
  <c r="D101" i="22"/>
  <c r="G106" i="10"/>
  <c r="X139" i="6"/>
  <c r="S139" i="6"/>
  <c r="L139" i="6"/>
  <c r="S133" i="6"/>
  <c r="X133" i="6"/>
  <c r="F124" i="22"/>
  <c r="G104" i="1"/>
  <c r="L112" i="6"/>
  <c r="X112" i="6"/>
  <c r="F103" i="22"/>
  <c r="X132" i="6"/>
  <c r="F123" i="22"/>
  <c r="X111" i="6"/>
  <c r="F102" i="22"/>
  <c r="F40" i="22"/>
  <c r="X49" i="6"/>
  <c r="X36" i="6"/>
  <c r="L36" i="6"/>
  <c r="O99" i="6"/>
  <c r="Q99" i="6" s="1"/>
  <c r="O131" i="6"/>
  <c r="Q131" i="6" s="1"/>
  <c r="D102" i="22"/>
  <c r="G107" i="10"/>
  <c r="O21" i="6"/>
  <c r="Q21" i="6" s="1"/>
  <c r="F46" i="22"/>
  <c r="X55" i="6"/>
  <c r="G47" i="1"/>
  <c r="F39" i="22"/>
  <c r="X48" i="6"/>
  <c r="X74" i="6"/>
  <c r="O88" i="6"/>
  <c r="Q88" i="6" s="1"/>
  <c r="O48" i="6"/>
  <c r="Q48" i="6" s="1"/>
  <c r="X60" i="6"/>
  <c r="F51" i="22"/>
  <c r="G52" i="1"/>
  <c r="X67" i="6"/>
  <c r="X35" i="6"/>
  <c r="D127" i="22"/>
  <c r="L4" i="1"/>
  <c r="F50" i="22"/>
  <c r="S59" i="6"/>
  <c r="D91" i="22"/>
  <c r="G96" i="10"/>
  <c r="D22" i="22"/>
  <c r="G27" i="10"/>
  <c r="N55" i="6"/>
  <c r="O55" i="6" s="1"/>
  <c r="Q55" i="6" s="1"/>
  <c r="X121" i="6"/>
  <c r="F112" i="22"/>
  <c r="G73" i="1"/>
  <c r="X81" i="6"/>
  <c r="L73" i="6"/>
  <c r="X73" i="6"/>
  <c r="F64" i="22"/>
  <c r="X59" i="6"/>
  <c r="D70" i="22"/>
  <c r="G75" i="10"/>
  <c r="F118" i="22"/>
  <c r="G119" i="1"/>
  <c r="X127" i="6"/>
  <c r="G79" i="1"/>
  <c r="F71" i="22"/>
  <c r="X80" i="6"/>
  <c r="X24" i="6"/>
  <c r="F15" i="22"/>
  <c r="L19" i="6"/>
  <c r="X113" i="6"/>
  <c r="L71" i="6"/>
  <c r="A4" i="18"/>
  <c r="N92" i="6" l="1"/>
  <c r="O92" i="6" s="1"/>
  <c r="Q92" i="6" s="1"/>
  <c r="T39" i="6"/>
  <c r="V39" i="6" s="1"/>
  <c r="T69" i="6"/>
  <c r="V69" i="6" s="1"/>
  <c r="T57" i="6"/>
  <c r="V57" i="6" s="1"/>
  <c r="F134" i="22"/>
  <c r="O105" i="6"/>
  <c r="Q105" i="6" s="1"/>
  <c r="T74" i="6"/>
  <c r="V74" i="6" s="1"/>
  <c r="G135" i="1"/>
  <c r="O114" i="6"/>
  <c r="Q114" i="6" s="1"/>
  <c r="T129" i="6"/>
  <c r="V129" i="6" s="1"/>
  <c r="N52" i="6"/>
  <c r="O52" i="6" s="1"/>
  <c r="Q52" i="6" s="1"/>
  <c r="N140" i="6"/>
  <c r="O140" i="6" s="1"/>
  <c r="Q140" i="6" s="1"/>
  <c r="N20" i="6"/>
  <c r="O20" i="6" s="1"/>
  <c r="Q20" i="6" s="1"/>
  <c r="O102" i="6"/>
  <c r="Q102" i="6" s="1"/>
  <c r="N56" i="6"/>
  <c r="O56" i="6" s="1"/>
  <c r="Q56" i="6" s="1"/>
  <c r="N86" i="6"/>
  <c r="O86" i="6" s="1"/>
  <c r="Q86" i="6" s="1"/>
  <c r="T86" i="6"/>
  <c r="V86" i="6" s="1"/>
  <c r="N37" i="6"/>
  <c r="O37" i="6" s="1"/>
  <c r="Q37" i="6" s="1"/>
  <c r="N77" i="6"/>
  <c r="O77" i="6" s="1"/>
  <c r="Q77" i="6" s="1"/>
  <c r="N61" i="6"/>
  <c r="O61" i="6" s="1"/>
  <c r="Q61" i="6" s="1"/>
  <c r="N83" i="6"/>
  <c r="O83" i="6" s="1"/>
  <c r="Q83" i="6" s="1"/>
  <c r="O93" i="6"/>
  <c r="Q93" i="6" s="1"/>
  <c r="T133" i="6"/>
  <c r="V133" i="6" s="1"/>
  <c r="O111" i="6"/>
  <c r="Q111" i="6" s="1"/>
  <c r="T85" i="6"/>
  <c r="V85" i="6" s="1"/>
  <c r="N85" i="6"/>
  <c r="O85" i="6" s="1"/>
  <c r="Q85" i="6" s="1"/>
  <c r="N44" i="6"/>
  <c r="O44" i="6" s="1"/>
  <c r="Q44" i="6" s="1"/>
  <c r="T44" i="6"/>
  <c r="V44" i="6" s="1"/>
  <c r="O108" i="6"/>
  <c r="Q108" i="6" s="1"/>
  <c r="T21" i="6"/>
  <c r="V21" i="6" s="1"/>
  <c r="T76" i="6"/>
  <c r="V76" i="6" s="1"/>
  <c r="N76" i="6"/>
  <c r="O76" i="6" s="1"/>
  <c r="Q76" i="6" s="1"/>
  <c r="T132" i="6"/>
  <c r="V132" i="6" s="1"/>
  <c r="N47" i="6"/>
  <c r="O47" i="6" s="1"/>
  <c r="Q47" i="6" s="1"/>
  <c r="A8" i="12"/>
  <c r="B8" i="12" s="1"/>
  <c r="N27" i="6"/>
  <c r="O27" i="6" s="1"/>
  <c r="Q27" i="6" s="1"/>
  <c r="T50" i="6"/>
  <c r="V50" i="6" s="1"/>
  <c r="T58" i="6"/>
  <c r="V58" i="6" s="1"/>
  <c r="N58" i="6"/>
  <c r="O58" i="6" s="1"/>
  <c r="Q58" i="6" s="1"/>
  <c r="T75" i="6"/>
  <c r="V75" i="6" s="1"/>
  <c r="T35" i="6"/>
  <c r="V35" i="6" s="1"/>
  <c r="N35" i="6"/>
  <c r="O35" i="6" s="1"/>
  <c r="Q35" i="6" s="1"/>
  <c r="N41" i="6"/>
  <c r="O41" i="6" s="1"/>
  <c r="Q41" i="6" s="1"/>
  <c r="T87" i="6"/>
  <c r="V87" i="6" s="1"/>
  <c r="T138" i="6"/>
  <c r="V138" i="6" s="1"/>
  <c r="N138" i="6"/>
  <c r="O138" i="6" s="1"/>
  <c r="Q138" i="6" s="1"/>
  <c r="T82" i="6"/>
  <c r="V82" i="6" s="1"/>
  <c r="N82" i="6"/>
  <c r="O82" i="6" s="1"/>
  <c r="Q82" i="6" s="1"/>
  <c r="N28" i="6"/>
  <c r="O28" i="6" s="1"/>
  <c r="Q28" i="6" s="1"/>
  <c r="T63" i="6"/>
  <c r="V63" i="6" s="1"/>
  <c r="N63" i="6"/>
  <c r="O63" i="6" s="1"/>
  <c r="Q63" i="6" s="1"/>
  <c r="N110" i="6"/>
  <c r="O110" i="6" s="1"/>
  <c r="Q110" i="6" s="1"/>
  <c r="T79" i="6"/>
  <c r="V79" i="6" s="1"/>
  <c r="N79" i="6"/>
  <c r="O79" i="6" s="1"/>
  <c r="Q79" i="6" s="1"/>
  <c r="N95" i="6"/>
  <c r="O95" i="6" s="1"/>
  <c r="Q95" i="6" s="1"/>
  <c r="N54" i="6"/>
  <c r="O54" i="6" s="1"/>
  <c r="Q54" i="6" s="1"/>
  <c r="T54" i="6"/>
  <c r="V54" i="6" s="1"/>
  <c r="N134" i="6"/>
  <c r="O134" i="6" s="1"/>
  <c r="Q134" i="6" s="1"/>
  <c r="T134" i="6"/>
  <c r="V134" i="6" s="1"/>
  <c r="T90" i="6"/>
  <c r="V90" i="6" s="1"/>
  <c r="N90" i="6"/>
  <c r="O90" i="6" s="1"/>
  <c r="Q90" i="6" s="1"/>
  <c r="N25" i="6"/>
  <c r="O25" i="6" s="1"/>
  <c r="Q25" i="6" s="1"/>
  <c r="T25" i="6"/>
  <c r="V25" i="6" s="1"/>
  <c r="N40" i="6"/>
  <c r="O40" i="6" s="1"/>
  <c r="Q40" i="6" s="1"/>
  <c r="T40" i="6"/>
  <c r="V40" i="6" s="1"/>
  <c r="T66" i="6"/>
  <c r="V66" i="6" s="1"/>
  <c r="N66" i="6"/>
  <c r="O66" i="6" s="1"/>
  <c r="Q66" i="6" s="1"/>
  <c r="N33" i="6"/>
  <c r="O33" i="6" s="1"/>
  <c r="Q33" i="6" s="1"/>
  <c r="T33" i="6"/>
  <c r="V33" i="6" s="1"/>
  <c r="T135" i="6"/>
  <c r="V135" i="6" s="1"/>
  <c r="N135" i="6"/>
  <c r="O135" i="6" s="1"/>
  <c r="Q135" i="6" s="1"/>
  <c r="N98" i="6"/>
  <c r="O98" i="6" s="1"/>
  <c r="Q98" i="6" s="1"/>
  <c r="A5" i="18"/>
  <c r="B4" i="18"/>
  <c r="T71" i="6"/>
  <c r="V71" i="6" s="1"/>
  <c r="N71" i="6"/>
  <c r="O71" i="6" s="1"/>
  <c r="Q71" i="6" s="1"/>
  <c r="T73" i="6"/>
  <c r="V73" i="6" s="1"/>
  <c r="N73" i="6"/>
  <c r="O73" i="6" s="1"/>
  <c r="Q73" i="6" s="1"/>
  <c r="H2" i="12"/>
  <c r="G2" i="12"/>
  <c r="M2" i="12"/>
  <c r="F2" i="12"/>
  <c r="L2" i="12"/>
  <c r="I2" i="12"/>
  <c r="E2" i="12"/>
  <c r="D2" i="12"/>
  <c r="N2" i="12"/>
  <c r="C2" i="12"/>
  <c r="J2" i="12"/>
  <c r="K2" i="12"/>
  <c r="N139" i="6"/>
  <c r="O139" i="6" s="1"/>
  <c r="Q139" i="6" s="1"/>
  <c r="T139" i="6"/>
  <c r="V139" i="6" s="1"/>
  <c r="N19" i="6"/>
  <c r="O19" i="6" s="1"/>
  <c r="Q19" i="6" s="1"/>
  <c r="T19" i="6"/>
  <c r="V19" i="6" s="1"/>
  <c r="N36" i="6"/>
  <c r="O36" i="6" s="1"/>
  <c r="Q36" i="6" s="1"/>
  <c r="T36" i="6"/>
  <c r="V36" i="6" s="1"/>
  <c r="N112" i="6"/>
  <c r="O112" i="6" s="1"/>
  <c r="Q112" i="6" s="1"/>
  <c r="Q143" i="6" l="1"/>
  <c r="N4" i="12"/>
  <c r="I4" i="12"/>
  <c r="I5" i="12"/>
  <c r="K3" i="12"/>
  <c r="K5" i="12" s="1"/>
  <c r="I3" i="12"/>
  <c r="J3" i="12"/>
  <c r="L5" i="12"/>
  <c r="L3" i="12"/>
  <c r="L4" i="12"/>
  <c r="M3" i="12"/>
  <c r="N3" i="12"/>
  <c r="K4" i="12"/>
  <c r="F4" i="12"/>
  <c r="H3" i="12"/>
  <c r="H5" i="12" s="1"/>
  <c r="F5" i="12"/>
  <c r="G3" i="12"/>
  <c r="F3" i="12"/>
  <c r="J4" i="12"/>
  <c r="J5" i="12"/>
  <c r="M5" i="12"/>
  <c r="M4" i="12"/>
  <c r="V143" i="6"/>
  <c r="C4" i="12"/>
  <c r="C3" i="12"/>
  <c r="D3" i="12"/>
  <c r="E3" i="12"/>
  <c r="E5" i="12" s="1"/>
  <c r="C5" i="12"/>
  <c r="G4" i="12"/>
  <c r="G5" i="12"/>
  <c r="H4" i="12"/>
  <c r="A6" i="18"/>
  <c r="B5" i="18"/>
  <c r="C9" i="12"/>
  <c r="K9" i="12"/>
  <c r="G9" i="12"/>
  <c r="I9" i="12"/>
  <c r="N9" i="12"/>
  <c r="N11" i="12" s="1"/>
  <c r="D9" i="12"/>
  <c r="L9" i="12"/>
  <c r="E9" i="12"/>
  <c r="M9" i="12"/>
  <c r="H9" i="12"/>
  <c r="F9" i="12"/>
  <c r="J9" i="12"/>
  <c r="N143" i="6"/>
  <c r="D4" i="12"/>
  <c r="D5" i="12"/>
  <c r="E4" i="12"/>
  <c r="I146" i="6" l="1"/>
  <c r="D12" i="12"/>
  <c r="D11" i="12"/>
  <c r="B6" i="12"/>
  <c r="I12" i="12"/>
  <c r="I10" i="12"/>
  <c r="J10" i="12"/>
  <c r="K10" i="12"/>
  <c r="K12" i="12" s="1"/>
  <c r="I11" i="12"/>
  <c r="F11" i="12"/>
  <c r="F10" i="12"/>
  <c r="F12" i="12"/>
  <c r="H10" i="12"/>
  <c r="H12" i="12" s="1"/>
  <c r="G10" i="12"/>
  <c r="G12" i="12"/>
  <c r="G11" i="12"/>
  <c r="K11" i="12"/>
  <c r="C10" i="12"/>
  <c r="C11" i="12"/>
  <c r="E10" i="12"/>
  <c r="E12" i="12" s="1"/>
  <c r="D10" i="12"/>
  <c r="C12" i="12"/>
  <c r="H11" i="12"/>
  <c r="M11" i="12"/>
  <c r="M12" i="12"/>
  <c r="E11" i="12"/>
  <c r="J12" i="12"/>
  <c r="J11" i="12"/>
  <c r="N10" i="12"/>
  <c r="L12" i="12"/>
  <c r="L11" i="12"/>
  <c r="L10" i="12"/>
  <c r="M10" i="12"/>
  <c r="A7" i="18"/>
  <c r="B6" i="18"/>
  <c r="A8" i="18" l="1"/>
  <c r="B7" i="18"/>
  <c r="B13" i="12"/>
  <c r="B15" i="12" s="1"/>
  <c r="C144" i="6" s="1"/>
  <c r="A9" i="18" l="1"/>
  <c r="B8" i="18"/>
  <c r="B9" i="18" l="1"/>
  <c r="A10" i="18"/>
  <c r="A11" i="18" l="1"/>
  <c r="B10" i="18"/>
  <c r="A12" i="18" l="1"/>
  <c r="B11" i="18"/>
  <c r="A13" i="18" l="1"/>
  <c r="B12" i="18"/>
  <c r="A14" i="18" l="1"/>
  <c r="B13" i="18"/>
  <c r="B14" i="18" l="1"/>
  <c r="A15" i="18"/>
  <c r="B15" i="18" l="1"/>
  <c r="A16" i="18"/>
  <c r="B16" i="18" l="1"/>
  <c r="A17" i="18"/>
  <c r="A18" i="18" l="1"/>
  <c r="B17" i="18"/>
  <c r="A19" i="18" l="1"/>
  <c r="B18" i="18"/>
  <c r="B19" i="18" l="1"/>
  <c r="A20" i="18"/>
  <c r="B20" i="18" l="1"/>
  <c r="A21" i="18"/>
  <c r="A22" i="18" l="1"/>
  <c r="B21" i="18"/>
  <c r="A23" i="18" l="1"/>
  <c r="B22" i="18"/>
  <c r="A24" i="18" l="1"/>
  <c r="B23" i="18"/>
  <c r="A25" i="18" l="1"/>
  <c r="B24" i="18"/>
  <c r="A26" i="18" l="1"/>
  <c r="B25" i="18"/>
  <c r="B26" i="18" l="1"/>
  <c r="A27" i="18"/>
  <c r="B27" i="18" l="1"/>
  <c r="A28" i="18"/>
  <c r="A29" i="18" l="1"/>
  <c r="B28" i="18"/>
  <c r="A30" i="18" l="1"/>
  <c r="B29" i="18"/>
  <c r="A31" i="18" l="1"/>
  <c r="B30" i="18"/>
  <c r="B31" i="18" l="1"/>
  <c r="A32" i="18"/>
  <c r="B32" i="18" l="1"/>
  <c r="A33" i="18"/>
  <c r="A34" i="18" l="1"/>
  <c r="B33" i="18"/>
  <c r="B34" i="18" l="1"/>
  <c r="A35" i="18"/>
  <c r="B35" i="18" l="1"/>
  <c r="A36" i="18"/>
  <c r="B36" i="18" l="1"/>
  <c r="A37" i="18"/>
  <c r="A38" i="18" l="1"/>
  <c r="B37" i="18"/>
  <c r="A39" i="18" l="1"/>
  <c r="B38" i="18"/>
  <c r="B39" i="18" l="1"/>
  <c r="A40" i="18"/>
  <c r="B40" i="18" l="1"/>
  <c r="A41" i="18"/>
  <c r="B41" i="18" l="1"/>
  <c r="A42" i="18"/>
  <c r="B42" i="18" l="1"/>
  <c r="A43" i="18"/>
  <c r="B43" i="18" l="1"/>
  <c r="A44" i="18"/>
  <c r="B44" i="18" l="1"/>
  <c r="A45" i="18"/>
  <c r="A46" i="18" l="1"/>
  <c r="B45" i="18"/>
  <c r="A47" i="18" l="1"/>
  <c r="B46" i="18"/>
  <c r="B47" i="18" l="1"/>
  <c r="A48" i="18"/>
  <c r="A49" i="18" l="1"/>
  <c r="B48" i="18"/>
  <c r="A50" i="18" l="1"/>
  <c r="B49" i="18"/>
  <c r="A51" i="18" l="1"/>
  <c r="B51" i="18" s="1"/>
  <c r="B50" i="1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NP-COMPUTER</author>
  </authors>
  <commentList>
    <comment ref="I1" authorId="0" shapeId="0" xr:uid="{46379704-D314-4808-80BD-A903A5DD76A1}">
      <text>
        <r>
          <rPr>
            <b/>
            <sz val="8"/>
            <color indexed="81"/>
            <rFont val="Tahoma"/>
            <family val="2"/>
            <charset val="163"/>
          </rPr>
          <t>NP-COMPUTER:</t>
        </r>
        <r>
          <rPr>
            <sz val="8"/>
            <color indexed="81"/>
            <rFont val="Tahoma"/>
            <family val="2"/>
            <charset val="163"/>
          </rPr>
          <t xml:space="preserve">
Đánh số hợp đồng</t>
        </r>
      </text>
    </comment>
    <comment ref="I2" authorId="0" shapeId="0" xr:uid="{848012C2-145A-471D-8866-EBCE597E7D35}">
      <text>
        <r>
          <rPr>
            <b/>
            <sz val="8"/>
            <color indexed="81"/>
            <rFont val="Tahoma"/>
            <family val="2"/>
          </rPr>
          <t>NP-COMPUTER:</t>
        </r>
        <r>
          <rPr>
            <sz val="8"/>
            <color indexed="81"/>
            <rFont val="Tahoma"/>
            <family val="2"/>
          </rPr>
          <t xml:space="preserve">
Đánh mm/dd/yyyy</t>
        </r>
      </text>
    </comment>
    <comment ref="C4" authorId="0" shapeId="0" xr:uid="{DE19CCE0-E464-4AB2-8D2B-2EA8CF8065A1}">
      <text>
        <r>
          <rPr>
            <b/>
            <sz val="10"/>
            <color indexed="81"/>
            <rFont val="Tahoma"/>
            <family val="2"/>
          </rPr>
          <t>NP-COMPUTER:</t>
        </r>
        <r>
          <rPr>
            <sz val="10"/>
            <color indexed="81"/>
            <rFont val="Tahoma"/>
            <family val="2"/>
          </rPr>
          <t xml:space="preserve">
Không được đánh vào ô này</t>
        </r>
      </text>
    </comment>
  </commentList>
</comments>
</file>

<file path=xl/sharedStrings.xml><?xml version="1.0" encoding="utf-8"?>
<sst xmlns="http://schemas.openxmlformats.org/spreadsheetml/2006/main" count="1143" uniqueCount="428">
  <si>
    <t>Chi tiết tên hàng</t>
  </si>
  <si>
    <t>Đvt</t>
  </si>
  <si>
    <t xml:space="preserve">Tổng cộng: </t>
  </si>
  <si>
    <t>HỢP ĐỒNG NGOẠI THƯƠNG</t>
  </si>
  <si>
    <t>Số 
lượng</t>
  </si>
  <si>
    <t>Quy cách
đóng gói</t>
  </si>
  <si>
    <t>STT</t>
  </si>
  <si>
    <t>Mã hàng</t>
  </si>
  <si>
    <t>Tên hàng (mô tả chi tiết)</t>
  </si>
  <si>
    <t>Mã HS</t>
  </si>
  <si>
    <t>Xuất xứ</t>
  </si>
  <si>
    <t>Đơn vị tính</t>
  </si>
  <si>
    <t>Đơn giá hóa đơn</t>
  </si>
  <si>
    <t>Trị giá hóa đơn</t>
  </si>
  <si>
    <t>Mã tiền Trị giá tính thuế</t>
  </si>
  <si>
    <t>Mã biểu thuế NK</t>
  </si>
  <si>
    <t>TS NK(%)</t>
  </si>
  <si>
    <t>Mã áp dụng mức thuế tuyệt đối</t>
  </si>
  <si>
    <t>(2) Số mục khai khoản điều chỉnh</t>
  </si>
  <si>
    <t>(3) Số mục khai khoản điều chỉnh</t>
  </si>
  <si>
    <t>(4) Số mục khai khoản điều chỉnh</t>
  </si>
  <si>
    <t>Số đăng ký danh mục miễn thuế NK</t>
  </si>
  <si>
    <t>Số dòng tương ứng trong danh mục</t>
  </si>
  <si>
    <t>Mã miễn/ giảm/ không chịu thuế nhập khẩu</t>
  </si>
  <si>
    <t>Thuế suất TTĐB(%)</t>
  </si>
  <si>
    <t>Tiền thuế TTĐB</t>
  </si>
  <si>
    <t>Mã miễn giảm thuế TTĐB</t>
  </si>
  <si>
    <t/>
  </si>
  <si>
    <t>Hai bên bàn bạc, thống nhất ý kiến. Bên A đồng ý bán cho bên B lô hàng theo danh mục chi tiết hàng hóa và các điều khoản trong nội dung hợp đồng như sau:</t>
  </si>
  <si>
    <t>Tên hàng hóa</t>
  </si>
  <si>
    <t>ĐVT</t>
  </si>
  <si>
    <t>Đơn giá
(USD)</t>
  </si>
  <si>
    <t>Thành tiền
(USD)</t>
  </si>
  <si>
    <t>- Hai bên cam kết thực hiện đúng các điều khoản đã ghi trong hợp đồng dựa trên cơ sở uy tín và hợp tác bền vững lâu dài.</t>
  </si>
  <si>
    <t>- Hợp đồng này có hiệu lực kể từ ngày ký cho tới khi hai bên hoàn thành xong các nghĩa vụ được nêu tại các điều khoản của hợp đồng này. Trường hợp hai bên đã hoàn thành xong các nghĩa vụ như đã cam kết thì hợp đồng mặc nhiên được coi là thanh lý</t>
  </si>
  <si>
    <t>- Hợp đồng được lập thành 04 (bốn) bản bằng tiếng Việt Nam, mỗi bên giữ 02 (hai) bản có giá trị pháp lý như nhau</t>
  </si>
  <si>
    <t>INVOICE NO:</t>
  </si>
  <si>
    <t>Ngày hợp đồng:</t>
  </si>
  <si>
    <t>Số hợp đồng:</t>
  </si>
  <si>
    <t>DATE:</t>
  </si>
  <si>
    <t>Thuế NK</t>
  </si>
  <si>
    <t>Giá tính thuế NK</t>
  </si>
  <si>
    <t>TS nhập khẩu sau khi có C/O</t>
  </si>
  <si>
    <t>Giá tính thuế GTGT</t>
  </si>
  <si>
    <t>Thuế suất GTGT</t>
  </si>
  <si>
    <t>Thuế GTGT</t>
  </si>
  <si>
    <t>Mã biểu thuế ưu đãi</t>
  </si>
  <si>
    <t xml:space="preserve"> - Bất kỳ tranh chấp có liên quan đến hợp đồng mà không thể giải quyết trên cơ sở hòa giải thì sẽ được giải quyết tại Trung tâm trọng tài Quốc tế ở Việt Nam. Phán quyết của trọng tài là quyết định cuối cùng buộc hai bên thực hiện. Chi phí trọng tài do bên thua kiện chịu</t>
  </si>
  <si>
    <t>INVOICE</t>
  </si>
  <si>
    <t xml:space="preserve">BORDER GATE : </t>
  </si>
  <si>
    <t>Description of good</t>
  </si>
  <si>
    <t>Unit</t>
  </si>
  <si>
    <t>Q.ty</t>
  </si>
  <si>
    <r>
      <t>N</t>
    </r>
    <r>
      <rPr>
        <b/>
        <vertAlign val="superscript"/>
        <sz val="11"/>
        <rFont val="Times New Roman"/>
        <family val="1"/>
      </rPr>
      <t>0</t>
    </r>
  </si>
  <si>
    <t>Unit price (USD)</t>
  </si>
  <si>
    <t>Amount (USD)</t>
  </si>
  <si>
    <t>HS code</t>
  </si>
  <si>
    <t>Tổng thuế:</t>
  </si>
  <si>
    <t>\</t>
  </si>
  <si>
    <t>DT đã có lãi</t>
  </si>
  <si>
    <t>Trọng lượng hàng</t>
  </si>
  <si>
    <t>Trọng lượng cả bì</t>
  </si>
  <si>
    <t>TRANSPORT:                                         BY TRUCK</t>
  </si>
  <si>
    <t>HÓA ĐƠN THƯƠNG MẠI</t>
  </si>
  <si>
    <t>CẤM XÓA</t>
  </si>
  <si>
    <t>SỐ:</t>
  </si>
  <si>
    <t>Số HĐ</t>
  </si>
  <si>
    <t>NGÀY:</t>
  </si>
  <si>
    <t>Ngày Hợp đồng</t>
  </si>
  <si>
    <t>PHIẾU ĐÓNG GÓI</t>
  </si>
  <si>
    <t>Hóa đơn số:</t>
  </si>
  <si>
    <t>Hợp đồng số:</t>
  </si>
  <si>
    <t xml:space="preserve"> - Phương thức vận chuyển: Ô tô tải</t>
  </si>
  <si>
    <t>CN</t>
  </si>
  <si>
    <t>Số
 kiện</t>
  </si>
  <si>
    <t xml:space="preserve"> - Đồng tiền thanh toán: USD hoặc CNY</t>
  </si>
  <si>
    <t xml:space="preserve"> - Phương thức thanh toán: TTR hoặc Biên mậu</t>
  </si>
  <si>
    <t>S. Lượng</t>
  </si>
  <si>
    <t>S Lượng 2</t>
  </si>
  <si>
    <t>ĐVT 2</t>
  </si>
  <si>
    <t>KGM</t>
  </si>
  <si>
    <t xml:space="preserve">                ĐẠI DIỆN BÊN MUA                                                         ĐẠI DIỆN BÊN BÁN</t>
  </si>
  <si>
    <r>
      <t xml:space="preserve">Chức vụ: </t>
    </r>
    <r>
      <rPr>
        <b/>
        <sz val="9"/>
        <rFont val="Times New Roman"/>
        <family val="1"/>
      </rPr>
      <t>Giám đốc</t>
    </r>
  </si>
  <si>
    <r>
      <t>ĐIỀU 1</t>
    </r>
    <r>
      <rPr>
        <b/>
        <sz val="9"/>
        <rFont val="Times New Roman"/>
        <family val="1"/>
      </rPr>
      <t>: TÊN HÀNG, SỐ LƯỢNG, GIÁ CẢ</t>
    </r>
  </si>
  <si>
    <r>
      <t>ĐIỀU 2</t>
    </r>
    <r>
      <rPr>
        <b/>
        <sz val="9"/>
        <rFont val="Times New Roman"/>
        <family val="1"/>
      </rPr>
      <t>: PHẨM CẤP, QUY CÁCH, CHẤT LƯỢNG VÀ BAO BÌ ĐÓNG GÓI CỦA HÀNG HÓA</t>
    </r>
  </si>
  <si>
    <r>
      <t xml:space="preserve"> - </t>
    </r>
    <r>
      <rPr>
        <b/>
        <sz val="9"/>
        <rFont val="Times New Roman"/>
        <family val="1"/>
      </rPr>
      <t xml:space="preserve">Phẩm cấp, quy cách, chất lượng của hàng hóa: </t>
    </r>
    <r>
      <rPr>
        <sz val="9"/>
        <rFont val="Times New Roman"/>
        <family val="1"/>
      </rPr>
      <t>Hàng hóa đạt tiêu chuẩn xuất khẩu hàng mới 100% đúng như mẫu bên A chào và được hai bên đồng ý chấp thuận. Nếu hàng hóa không đảm bảo chất lượng, kiểu dáng như mẫu bên A đã chào thì bên B có quyền trả lại hàng cho bên A. Mọi chi phí liên quan đến việc tái xuất hàng hóa do bên A chịu trách nhiệm thanh toán.</t>
    </r>
  </si>
  <si>
    <r>
      <rPr>
        <b/>
        <sz val="9"/>
        <rFont val="Times New Roman"/>
        <family val="1"/>
      </rPr>
      <t xml:space="preserve"> - Bao bì đóng gói: </t>
    </r>
    <r>
      <rPr>
        <sz val="9"/>
        <rFont val="Times New Roman"/>
        <family val="1"/>
      </rPr>
      <t>Hàng hóa được đóng gói trong (kiện gỗ hoặc thùng xốp, carton, bao tải dứa......)</t>
    </r>
  </si>
  <si>
    <r>
      <t>ĐIỀU 3</t>
    </r>
    <r>
      <rPr>
        <b/>
        <sz val="9"/>
        <rFont val="Times New Roman"/>
        <family val="1"/>
      </rPr>
      <t>: THỜI GIAN VÀ ĐỊA ĐIỂM GIAO HÀNG</t>
    </r>
  </si>
  <si>
    <r>
      <rPr>
        <b/>
        <sz val="9"/>
        <rFont val="Times New Roman"/>
        <family val="1"/>
      </rPr>
      <t xml:space="preserve"> - Thời gian giao hàng:</t>
    </r>
    <r>
      <rPr>
        <sz val="9"/>
        <rFont val="Times New Roman"/>
        <family val="1"/>
      </rPr>
      <t xml:space="preserve"> Bên A giao hàng cho bên B chậm nhất trong vòng 60 ngày kể từ ngày hai bên ký hợp đồng này.</t>
    </r>
  </si>
  <si>
    <r>
      <t>ĐIỀU 4:</t>
    </r>
    <r>
      <rPr>
        <b/>
        <sz val="9"/>
        <rFont val="Times New Roman"/>
        <family val="1"/>
      </rPr>
      <t xml:space="preserve"> GIÁ VÀ ĐIỀU KIỆN GIAO HÀNG</t>
    </r>
  </si>
  <si>
    <r>
      <t>ĐIỀU 5:</t>
    </r>
    <r>
      <rPr>
        <b/>
        <sz val="9"/>
        <rFont val="Times New Roman"/>
        <family val="1"/>
      </rPr>
      <t xml:space="preserve"> PHƯƠNG THỨC THANH TOÁN</t>
    </r>
  </si>
  <si>
    <r>
      <rPr>
        <b/>
        <sz val="9"/>
        <rFont val="Times New Roman"/>
        <family val="1"/>
      </rPr>
      <t xml:space="preserve">- Hình thức thanh toán: </t>
    </r>
    <r>
      <rPr>
        <sz val="9"/>
        <rFont val="Times New Roman"/>
        <family val="1"/>
      </rPr>
      <t>Thanh toán bằng TTR hoặc biên mậu</t>
    </r>
  </si>
  <si>
    <r>
      <t>- Thời gian thanh toán:</t>
    </r>
    <r>
      <rPr>
        <sz val="9"/>
        <rFont val="Times New Roman"/>
        <family val="1"/>
      </rPr>
      <t xml:space="preserve"> Bên B thanh toán cho bên A vào tài khoản của bên A chậm nhất trong vòng 360 ngày kể từ ngày nhận được hàng.</t>
    </r>
  </si>
  <si>
    <r>
      <rPr>
        <b/>
        <sz val="9"/>
        <rFont val="Times New Roman"/>
        <family val="1"/>
      </rPr>
      <t>- Chứng từ thanh toán:</t>
    </r>
    <r>
      <rPr>
        <sz val="9"/>
        <rFont val="Times New Roman"/>
        <family val="1"/>
      </rPr>
      <t xml:space="preserve"> 01 Hợp đồng ngoại thương; 01 Hóa đơn thương mại; 01 Bảng kê chi tiết</t>
    </r>
  </si>
  <si>
    <r>
      <t>ĐIỀU 6:</t>
    </r>
    <r>
      <rPr>
        <b/>
        <sz val="9"/>
        <rFont val="Times New Roman"/>
        <family val="1"/>
      </rPr>
      <t xml:space="preserve"> ĐIỀU KHOẢN CHUNG</t>
    </r>
  </si>
  <si>
    <t>Mã Hàng</t>
  </si>
  <si>
    <t>Tổng</t>
  </si>
  <si>
    <t>B05</t>
  </si>
  <si>
    <r>
      <rPr>
        <b/>
        <sz val="9"/>
        <rFont val="Times New Roman"/>
        <family val="1"/>
      </rPr>
      <t>- Đồng tiền thanh toán:</t>
    </r>
    <r>
      <rPr>
        <sz val="9"/>
        <rFont val="Times New Roman"/>
        <family val="1"/>
      </rPr>
      <t xml:space="preserve"> USD hoặc CNY ( theo tỷ giá quy đổi tại thời điểm thanh toán )</t>
    </r>
  </si>
  <si>
    <t>Số kiện</t>
  </si>
  <si>
    <t>Trị giá tính thuế CBPG</t>
  </si>
  <si>
    <t>Thuế suất CBPG</t>
  </si>
  <si>
    <t>Thuế CBPG</t>
  </si>
  <si>
    <t>TT_DONG_HANG</t>
  </si>
  <si>
    <t>MA_HS</t>
  </si>
  <si>
    <t>MO_TA_HANG_HOA</t>
  </si>
  <si>
    <t>SO_LUONG</t>
  </si>
  <si>
    <t>DVT_SO_LUONG</t>
  </si>
  <si>
    <t>TRONG_LUONG</t>
  </si>
  <si>
    <t>DVT_TRONG_LUONG</t>
  </si>
  <si>
    <t>Tên</t>
  </si>
  <si>
    <t>Mã</t>
  </si>
  <si>
    <t>Thông tin</t>
  </si>
  <si>
    <t>Thứ tự dòng hàng</t>
  </si>
  <si>
    <t>Nhập dạng số tối đa 4 kí tự</t>
  </si>
  <si>
    <t>Mã hàng hóa</t>
  </si>
  <si>
    <t>Nhập text tối đa 6 kí tự</t>
  </si>
  <si>
    <t>Đơn vị tính trọng lượng</t>
  </si>
  <si>
    <t>Nhập text tối đa 500 kí tự</t>
  </si>
  <si>
    <t>Số lượng</t>
  </si>
  <si>
    <t>Nhập dạng số tối đa 15 kí tự</t>
  </si>
  <si>
    <t>Nhập text tối đa 15 kí tự</t>
  </si>
  <si>
    <t>Nhập số tối đa 17 số, trong đó có tối đa 2 số sau dấu thập phân</t>
  </si>
  <si>
    <t>Nhập các giá trị: TNE/KGM/LBR</t>
  </si>
  <si>
    <t>HS CODE</t>
  </si>
  <si>
    <t>Thuế suất VAT</t>
  </si>
  <si>
    <t>Giá /cân</t>
  </si>
  <si>
    <t>车头：桂FB3272</t>
  </si>
  <si>
    <t>拖挂：赣L3858挂</t>
  </si>
  <si>
    <t>柜号:</t>
  </si>
  <si>
    <t>车型：18.6米大版</t>
  </si>
  <si>
    <t>车厢长18.6米宽3米</t>
  </si>
  <si>
    <t>车头颜色：红色</t>
  </si>
  <si>
    <t>备案号：</t>
  </si>
  <si>
    <t>司机姓名：小刘</t>
  </si>
  <si>
    <t>电话：18177720051</t>
  </si>
  <si>
    <t xml:space="preserve"> - Điều kiện giao hàng: Bên A giao hàng cho bên B theo điều kiện DAF Tân Thanh (theo Incoterms 2000)</t>
  </si>
  <si>
    <t xml:space="preserve"> - Địa điểm giao hàng: Tại Cửa Khẩu Tân Thanh - Lạng Sơn</t>
  </si>
  <si>
    <t xml:space="preserve"> - Giá trên được hiểu là DAF Tân Thanh - Lạng Sơn theo Incoterms 2000 kể cả bao bì đóng gói.</t>
  </si>
  <si>
    <t xml:space="preserve"> - Điều kiện giao hàng: Hàng được giao thành 01(một) lần theo điều kiện DAF Tân Thanh, Lạng Sơn. </t>
  </si>
  <si>
    <r>
      <t xml:space="preserve">Người đại diện:  </t>
    </r>
    <r>
      <rPr>
        <b/>
        <sz val="9"/>
        <rFont val="Times New Roman"/>
        <family val="1"/>
      </rPr>
      <t>NONG RUN RONG</t>
    </r>
  </si>
  <si>
    <t>HĐ</t>
  </si>
  <si>
    <t>Trị giá</t>
  </si>
  <si>
    <t>PCE</t>
  </si>
  <si>
    <t>TTP</t>
  </si>
  <si>
    <t>Giang minh</t>
  </si>
  <si>
    <t>KTT</t>
  </si>
  <si>
    <t>PINGXIANG GUIFENG TRADING CO.,LTD</t>
  </si>
  <si>
    <t>ADD: NO.6 PHASE II PAVEMENT BAIYUN FIELD TIANNAN SECONDARY PINGXIANG CITY GUANGXI CHINA</t>
  </si>
  <si>
    <r>
      <t xml:space="preserve">BÊN A </t>
    </r>
    <r>
      <rPr>
        <b/>
        <sz val="9"/>
        <rFont val="Times New Roman"/>
        <family val="1"/>
      </rPr>
      <t>: PINGXIANG GUIFENG TRADING CO.,LTD</t>
    </r>
  </si>
  <si>
    <t>Địa chỉ: NO.6 PHASE II PAVEMENT BAIYUN FIELD TIANNAN SECONDARY PINGXIANG CITY GUANGXI CHINA</t>
  </si>
  <si>
    <t>Tài khoản ngân hàng số: 800127856500015 tại ngân hàng GUANGXI BEIBU GULF BANK                                                                                             SWIFT code: BGBKCNBJ</t>
  </si>
  <si>
    <t>Điện thoại: +86-18154645304</t>
  </si>
  <si>
    <t>PR</t>
  </si>
  <si>
    <t>SET</t>
  </si>
  <si>
    <t>FROM : CHINA: VIA             TANTHANH</t>
  </si>
  <si>
    <t>COMMERCIAL INVOICE</t>
  </si>
  <si>
    <t>No:</t>
  </si>
  <si>
    <t>Date:</t>
  </si>
  <si>
    <t xml:space="preserve"> - Payment method: TTR or Border Trade</t>
  </si>
  <si>
    <t xml:space="preserve"> - Currency: USD or CNY</t>
  </si>
  <si>
    <t xml:space="preserve"> - Transportation method: Truck</t>
  </si>
  <si>
    <t xml:space="preserve">TOTAL: </t>
  </si>
  <si>
    <t>No</t>
  </si>
  <si>
    <t>Product name</t>
  </si>
  <si>
    <t>Quantity</t>
  </si>
  <si>
    <t>Unit price
(USD)</t>
  </si>
  <si>
    <t>Total
(USD)</t>
  </si>
  <si>
    <t>Tên TA</t>
  </si>
  <si>
    <t>BÊN B: CÔNG TY TNHH THƯƠNG MẠI VÀ XUẤT NHẬP KHẨU TRƯỜNG HẢI</t>
  </si>
  <si>
    <t>Trụ sở: Số 12 Đường Phụ Số 4, Khu đô thị Phú Lộc 2, Phường Kỳ Lừa, Tỉnh Lạng Sơn, Việt Nam</t>
  </si>
  <si>
    <t>Mã số thuế: 4900944167</t>
  </si>
  <si>
    <t>Tài khoản ngân hàng số: 9328666888 – Ngân hàng Thương mại Cổ phần Quân đội - CN Tây Hà Nội</t>
  </si>
  <si>
    <t xml:space="preserve">Người đại diện: ĐƯỜNG ANH TUẤN	</t>
  </si>
  <si>
    <t>Chức vụ: Giám đốc</t>
  </si>
  <si>
    <t>BUYER: TRUONG HAI TRADING AND IMPORT-EXPORT COMPANY LIMITED</t>
  </si>
  <si>
    <t>Address: No. 12, Secondary Road No. 4, Phu Loc 2 Urban Area, Ky Lua Ward, Lang Son Province, Vietnam.</t>
  </si>
  <si>
    <t>NGƯỜI MUA: CÔNG TY TNHH THƯƠNG MẠI VÀ XUẤT NHẬP KHẨU TRƯỜNG HẢI</t>
  </si>
  <si>
    <t>Địa chỉ: Số 12 Đường Phụ Số 4, Khu đô thị Phú Lộc 2, Phường Kỳ Lừa, Tỉnh Lạng Sơn, Việt Nam</t>
  </si>
  <si>
    <t>ROL</t>
  </si>
  <si>
    <t>Screen protector</t>
  </si>
  <si>
    <t>School supplies bag</t>
  </si>
  <si>
    <t>tối ưu</t>
  </si>
  <si>
    <t>UNK</t>
  </si>
  <si>
    <t xml:space="preserve"> - The above price is understood as the DAF Tan Thanh - Lang Son price - Incoterms 2000</t>
  </si>
  <si>
    <t xml:space="preserve"> - Giá trên được hiểu là giá DAF Tân Thanh - Lạng Sơn - Incoterms 2000</t>
  </si>
  <si>
    <t>DAF TAN THANH - VIET NAM</t>
  </si>
  <si>
    <t>B01</t>
  </si>
  <si>
    <t>Hộp 4 bút bi mực gel, thân vỏ bút bằng nhựa tổng hợp có in họa tiết. KT: (dài 18*0.8cm)+-10%, không hiệu. Nsx Baiqi Hourglass Pens Co.Ltd, mới 100%</t>
  </si>
  <si>
    <t>Full-body massage pad</t>
  </si>
  <si>
    <t>Plastic tray</t>
  </si>
  <si>
    <t xml:space="preserve">0902
</t>
  </si>
  <si>
    <t>Khăn lau bụi dùng để lau xe hơi, chất liệu vải dệt kim từ sợi polyester, KT:(30*30)cm, không hiệu, NSX: Qingdao Tao Hui Industrial. Mới 100%</t>
  </si>
  <si>
    <t>Bộ ấm chén pha trà bằng gốm đất nung tráng men rạn Nhữ Diêu,gồm ấm trà dung tích 250ml,chén khải 190ml và chén uống trà 50ml, đóng hộp quà tặng, không hiệu. NSX: Shenzhen Tao Hui Industrial. Mới 100%</t>
  </si>
  <si>
    <t>Bộ ấm chén pha trà du lịch bằng gốm đất nung tráng men trắng, dáng Tây Thi họa tiết Núi Non, gồm ấm trà dung tích 270ml, tống trà 150ml, chén trà 50ml,đóng hộp quà tặng, không hiệu, Mới 100%</t>
  </si>
  <si>
    <t>Bộ ấm chén trà bằng gốm đất nung, kiểu dáng Nhật gồm 1 ấm 200ml và 4 chén 60ml kèm hộp quà tặng, không hiệu, NSX: Shenzhen Tao Hui Industrial Co., Ltd., Mới 100%</t>
  </si>
  <si>
    <t>Ấm pha trà bằng gốm đất nung không tráng men (Tử Sa) dáng Hán Ngõa, màu xanh Lục Nê, dung tích 240ml, không dùng điện, không hiệu, NSX: Shenzhen Tao Hui Industrial Co., Ltd., Mới 100%</t>
  </si>
  <si>
    <t>Ấm pha trà bằng gốm đất nung không tráng men (Tử Sa) dáng Tây Thi, màu đỏ Đại Hồng Bào, dung tích 240ml, không dùng điện, không hiệu, NSX: Shenzhen Tao Hui Industrial Co., Ltd., Mới 100%</t>
  </si>
  <si>
    <t>Cốc uống trà bằng gốm đất nung không tráng men (Tử Sa) họa tiết Thiên Hương, dung tích 180ml, không hiệu, NSX: Shenzhen Tao Hui Industrial Co., Ltd., Mới 100%</t>
  </si>
  <si>
    <t>Ấm pha trà bằng gốm đất nung không tráng men (Tử Sa) dáng Bát Phương Nung Củi, màu vàng Đoạn Nê, dung tích 270ml, không dùng điện, không hiệu, NSX: Shenzhen Tao Hui Industrial Co., Ltd., Mới 100%</t>
  </si>
  <si>
    <t>Ấm pha trà bằng gốm đất nung không tráng men (Tử Sa) dáng Thạch Biều, màu xanh Lục Nê, dung tích 260ml, không dùng điện, không hiệu, NSX: Shenzhen Tao Hui Industrial Co., Ltd., Mới 100%</t>
  </si>
  <si>
    <t>Ấm pha trà bằng gốm đất nung không tráng men (Tử Sa) dáng Vân Lư, màu nâu Thiết Huyết Hồng Sa, dung tích 260ml, không dùng điện, không hiệu, NSX: Shenzhen Tao Hui Industrial Co., Ltd., Mới 100%</t>
  </si>
  <si>
    <t>Ấm pha trà bằng gốm đất nung không tráng men (Tử Sa) dáng Tứ Phương Liên Hoa dung tích 230ml, không dùng điện, không hiệu, NSX: Shenzhen Tao Hui Industrial Co., Ltd., Mới 100%</t>
  </si>
  <si>
    <t>Ấm pha trà bằng gốm đất nung không tráng men (Tử Sa) dáng Long Đán, màu nâu Tử Nê, dung tích 220ml, không dùng điện, không hiệu, NSX: Shenzhen Tao Hui Industrial Co., Ltd., Mới 100%</t>
  </si>
  <si>
    <t>Ấm pha trà bằng gốm đất nung không tráng men (Tử Sa) dáng Phan Hồ, màu đỏ Đại Hồng Bào, dung tích 250ml, không dùng điện, không hiệu, NSX: Shenzhen Tao Hui Industrial Co., Ltd., Mới 100%</t>
  </si>
  <si>
    <t>Ấm pha trà bằng gốm đất nung không tráng men (Tử Sa) dáng Tây Thi, dung tích 420ml, không dùng điện, không hiệu, NSX: Shenzhen Tao Hui Industrial Co., Ltd., Mới 100%</t>
  </si>
  <si>
    <t>Khay để ấm trà (Thuyền Trà) bằng gốm đất nung không tráng men (Tử Sa) đường kính 19.5cm, họa tiết Sơn Cảnh, đóng hộp quà tặng, không hiệu, NSX: Shenzhen Tao Hui Industrial Co., Ltd., Mới 100%</t>
  </si>
  <si>
    <t>Ang trà ( bát tráng trà) bằng gốm đất nung không tráng men (Tử Sa), màu cam Chu Nê, họa tiết Tâm Kinh đường kính 27.8cm, không hiệu, NSX: Shenzhen Tao Hui Industrial Co., Ltd., Mới 100%</t>
  </si>
  <si>
    <t>Ấm pha trà bằng gốm đất nung không tráng men (Tử Sa) dáng Thạch Biều Cảnh Chu, màu nâu Tử Nê, dung tích 230ml, không dùng điện, không hiệu, NSX: Shenzhen Tao Hui Industrial Co., Ltd., Mới 100%</t>
  </si>
  <si>
    <t>Ấm pha trà bằng gốm đất nung không tráng men (Tử Sa) dáng Mỹ Nhân Kiên, màu đỏ Đại Hồng Bào, dung tích 190ml, không dùng điện, không hiệu, NSX: Shenzhen Tao Hui Industrial Co., Ltd., Mới 100%</t>
  </si>
  <si>
    <t>Ấm pha trà bằng gốm đất nung không tráng men (Tử Sa) dáng Tây Thi Song Sắc, dung tích 200ml, không dùng điện, không hiệu, NSX: Shenzhen Tao Hui Industrial Co., Ltd., Mới 100%</t>
  </si>
  <si>
    <t>Công tắc điều khiển dòng chảy, model: HFS-25, dùng cho công nghiệp đóng ngắt dòng điện 5A. KT: (10*7*5)cm+/-10%, đk: ren 1-3/4inch, đ/áp: 220V, hiệu: SUNSES, mới 100%</t>
  </si>
  <si>
    <t>Công tắc áp suất khí nén KP, bằng nhựa kết hợp đồng, để điều chỉnh áp suất trong hệ thống khí nén, đ/áp: 220V/5A, không hiệu. NSX: Zhejiang Machinery Technology Co., LTD, mới 100%</t>
  </si>
  <si>
    <t>Đế chia khí dùng cho đường ống khí nén, bằng hợp kim nhôm, loại 3-5 cổng, ren 13mm, áp suất làm việc 1 MPa. KT: (15*5*2)cm+/-10%, không hiệu, nsx: NSX Aikes Pneumatic Components Co., Ltd, mới 100%</t>
  </si>
  <si>
    <t xml:space="preserve">Vợt pickleball, model: Bomba X, sử dụng công nghệ ép nóng, lõi eva foam, bề mặt bằng sợi carbon. KT: (40*20*3)cm+/-10%, hiệu: Do-An, mới 100%
</t>
  </si>
  <si>
    <t>Yếm cho thú cưng, chất liệu vải dệt từ sợi tổng hợp. KT: (25*20*2)cm+/-10%, không hiệu. NSX: Ningbo Jia Chong International Trade Co., Ltd.., mới 100%</t>
  </si>
  <si>
    <t>Dây dắt thú cưng, chất liệu vải dù. KT: 1.2cm*1.5m+/-10%, không hiệu. NSX: Ningbo Jia Chong International Trade Co., Ltd.., mới 100%</t>
  </si>
  <si>
    <t>Thanh giá treo của vòi hoa sen cây (gồm 2 thanh), chất liệu thép không gỉ, chống bám bẩn. KT: (1280*370)mm+/-10%, không hiệu,nsx: Jiangyin Yonghao Machinery Co., Ltd. Mới 100%</t>
  </si>
  <si>
    <t>Khay chữ nhật, kí hiệu: SL-170, dùng để trang trí, trưng bày trong khách sạn, chất liệu nhựa giả gỗ. KT: (29.7*21.5*6)cm+/-10%, không hiệu. Nsx: Shandong Machinery Co., Ltd. Mới 100%</t>
  </si>
  <si>
    <t>Khay đựng đũa đặt trên bàn ăn dùng trong nhà bếp, không dùng đựng thực phẩm,chất liệu bằng nhựa ABS, kí hiệu: C-1222. KT: (27.3*10.5*6.5)cm+-10%, không hiệu. Nsx: Shandong Machinery Co., Ltd. Mới 100%</t>
  </si>
  <si>
    <t>Khay đựng đũa đặt trên bàn ăn dùng trong nhà bếp, không dùng đựng thực phẩm, chất liệu bằng nhựa ABS, kí hiệu: C-1223. KT: (26.5*8.7*5)cm+-10%, không hiệu. Nsx: Shandong Machinery Co., Ltd. Mới 100%</t>
  </si>
  <si>
    <t>Nồi lẩu sần 2 ngăn NLS2N32B, dùng trong nhà bếp, không dùng điện, chất liệu inox. ĐK: 32cm+/-10%, không hiệu, nsx: Jiangmen Jida Stainless Steel Products Co., Ltd.. Mới 100%</t>
  </si>
  <si>
    <t>Nồi lẩu inox NLS30B, dùng trong nhà bếp, không dùng điện. ĐK: 28cm+/-10%, không hiệu, nsx: Jiangmen Jida Stainless Steel Products Co., Ltd.. Mới 100%</t>
  </si>
  <si>
    <t>Khay chữ nhật có đế, dùng trang trí trưng bày trong khách sạn, không đựng thực phẩm, KH: 990808, CL nhựa ABS.KT: (20.4*15*5.8)cm+/-10%, không hiệu.NSX: Jiangmen Jida Stainless Steel Products. Mới 100%</t>
  </si>
  <si>
    <t>Miếng dán kính cường lực BAIKO GLASS dùng cho điện thoại,loại an toàn 2 lớp (kính dán an toàn nhiều lớp),CL sợi thủy tinh, có lớp bảo vệ bằng nhựa. KT: (185*75*25)mm +/-10%, nhãn hiệu: BAIKO. Mới 100%</t>
  </si>
  <si>
    <t>Miếng dán kính cường lực BAIKO ULTRA THIN PRIVACY dùng cho điện thoại,loại kính dán nhiều lớp,CL sợi thủy tinh, lớp bảo vệ bằng nhựa. KT (185*75*25)mm +/-10%,nhãn hiệu: BAIKO. Mới 100%</t>
  </si>
  <si>
    <t>Miếng dán kính cường lực BAIKO GLASS PRIVACY cho điện thoại,loại an toàn 2 lớp (kính dán an toàn nhiều lớp),CL sợi thủy tinh, có lớp bảo vệ bằng nhựa. KT: (185*75*25)mm, nhãn hiệu: BAIKO. Mới 100%</t>
  </si>
  <si>
    <t>Tấm kính cường lực loại an toàn nhiều lớp, dùng để bảo vệ màn hình điện thoại di dộng, ESD GLASS màu tím, chất liệu sợi thuỷ tinh, lớp bảo vệ bằng nhựa. KT: (185*75*25)mm, nhãn hiệu: BAIKO.Mới 100%</t>
  </si>
  <si>
    <t>Dây kẽm nhung (lõi kẽm bọc vải nhung) dùng để làm hoa giả, 100 sợi/bó. 1 bó=1 set. KT: đường kính 0.8cm, dài 30cm+/-10%, không hiệu. NSX: Yiwu Tianhong Crafts Co., Ltd, mới 100%</t>
  </si>
  <si>
    <t>Miếng nhám cọ rửa bát đĩa, chất liệu lớp mút xốp bằng nhựa, dạng mút xốp kết hợp lớp nhám. KT: (10*6*2)cm+/-10%, không hiệu, nsx: Fengrun Commodity Co., Ltd. Mới 100%</t>
  </si>
  <si>
    <t>Túi đựng dụng cụ học tập 1 ngăn in họa tiết basic loại đựng trong túi, cặp chất liệu và mặt ngoài bằng vải dệt. KT: (20*8*6)cm+/-10%, không hiệu. NSX: Shanghai Stationery Inc. Mới 100%</t>
  </si>
  <si>
    <t>Túi đựng dụng cụ học tập 2 ngăn loại đựng trong túi, cặp chất liệu và mặt ngoài bằng vải dệt không thấm nước. KT: (20*10*6)cm+/-10%, không hiệu. NSX:Yiwu Jiayi Daily Necessities Factory,mới 100%</t>
  </si>
  <si>
    <t>Máy làm đá viên, model: FPS-1500P. KT máy: (1225*970*1920)mm, kt thùng chứa đá: (1330*720*930)mm+/-10%, đ/áp: 220V/50Hz, CS: 682kg/24h. Nhãn hiệu: ASIMA, mới 100%</t>
  </si>
  <si>
    <t>Chậu rửa bát bằng inox 201, chống ngưng tụ nước, 1 hộc dùng trong nhà bếp. KT: (450*400*215)mm+/-10%, kí hiệu: 4540-D(201)2.7mm, không hiệu. NSX: Foshan Jinyunke Kitchen &amp; Bath Co., Ltd., mới 100%</t>
  </si>
  <si>
    <t>Chậu rửa bát bằng inox 201, chống ngưng tụ nước, 1 hộc dùng trong nhà bếp. KT: (500*400*215)mm+/-10%, kí hiệu: 5040-D(201)2.7mm, không hiệu. NSX: Foshan Jinyunke Kitchen &amp; Bath Co., Ltd., mới 100%</t>
  </si>
  <si>
    <t>Chậu rửa bát bằng inox 201, chống ngưng tụ nước, 1 hộc dùng trong nhà bếp. KT: (600*450*215)mm+/-10%, kí hiệu: 6045-D(201)2.7mm, không hiệu. NSX: Foshan Jinyunke Kitchen &amp; Bath Co., Ltd., mới 100%</t>
  </si>
  <si>
    <t>Chậu rửa bát bằng inox 201, chống ngưng tụ nước, 1 hộc dùng trong nhà bếp. KT: (600*450*215)mm+/-10%, kí hiệu: 6045-AE(201)2.7mm, không hiệu. NSX: Foshan Jinyunke Kitchen &amp; Bath Co., Ltd., mới 100%</t>
  </si>
  <si>
    <t>Chậu rửa bát bằng inox 304, chống ngưng tụ nước, 1 hộc dùng trong nhà bếp, KT: (750*460*215)mm+/-10%, kí hiệu: 7546-B(304)5.0mm, không hiệu. NSX: Foshan Jinyunke Kitchen &amp; Bath Co., Ltd., mới 100%</t>
  </si>
  <si>
    <t>Chậu rửa bát bằng inox 201, chống ngưng tụ nước, 1 hộc dùng trong nhà bếp, KT: (780*460*215)mm+/-10%, kí hiệu: 7846-A(201)2.7mm, không hiệu. NSX: Foshan Jinyunke Kitchen &amp; Bath Co., Ltd., mới 100%</t>
  </si>
  <si>
    <t>Chậu rửa bát bằng inox 201, chống ngưng tụ nước, 2 hộc dùng trong nhà bếp, KT: (780*460*215)mm+/-10%, kí hiệu: 7846-AE(201)2.7mm, không hiệu. NSX: Foshan Jinyunke Kitchen &amp; Bath Co., Ltd., mới 100%</t>
  </si>
  <si>
    <t>Điều khiển cửa cuốn từ xa, loại điều khiển bằng sóng hồng ngoại, vỏ bằng nhựa tổng hợp, không chứa dữ liệu, mật mã dân sự, sử dụng pin 23A/12V, không hiệu. Nsx: Zhejiang Zhiyuan Factory. Mới 100%</t>
  </si>
  <si>
    <t>Bộ điều khiển cửa cuốn gồm 1 hộp tín hiệu trung tâm và 2 tay khiển, loại điều khiển bằng sóng hồng ngoại, vỏ bằng nhựa tổng hợp, không chứa dữ liệu, mật mã dân sự,dùng pin 23A/12V, không hiệu.Mới 100%</t>
  </si>
  <si>
    <t>Bộ điều khiển cửa cuốn gồm 1 hộp tín hiệu trung tâm và 2 tay khiển nắp trượt, loại điều khiển bằng sóng hồng ngoại, vỏ bằng nhựa tổng hợp, không chứa dữ liệu, mmds,dùng pin 23A/12V,không hiệu.Mới 100%</t>
  </si>
  <si>
    <t>Công tắc hành trình dùng cho cửa cuốn để xác định điểm dừng khi đóng/mở cửa, đ/a: 250V, dòng điện 5A, đ/a:250V, KH: ME-9101 không hiệu, Nsx: Zhejiang Zhiyuan Factory, mới 100%</t>
  </si>
  <si>
    <t>Công tắc hành trình dùng cho cửa cuốn để xác định điểm dừng khi đóng/mở cửa, đ/a: 220V, dòng điện 5A, đ/a:250V, KH: ME-8108, không hiệu, Nsx: Zhejiang Zhiyuan Factory, mới 100%</t>
  </si>
  <si>
    <t>Bộ nguồn adapter đa năng có núm xoay điều chỉnh điện áp dùng cho thiết bị massage điện đá nóng, model: 31220, đ/a đầu ra: 3-12V, dòng điện 2A, không hiệu, NSX: Shanghai Metal &amp; Plastic. Mới 100%</t>
  </si>
  <si>
    <t>Dây thắt lưng nam nữ đục lỗ hình ngôi sao, 4 màu đen, trắng, hồng, vàng, chất liệu nhựa giả da (PU), KT: rộng 1.8cm, dài 105cm+-10%, không hiệu, Nsx: Qingdao fashion Co., Ltd, Mới 100%</t>
  </si>
  <si>
    <t>Dây thắt lưng nam nữ Y2K họa tiết ngôi sao, chất liệu nhựa gải da (PU), mặt khóa mạ màu bạc, KH:OLL403, KT: rộng 2.8cm, dài 105cm+-10%, không hiệu, Nsx: Qingdao fashion Co., Ltd, Mới 100%</t>
  </si>
  <si>
    <t>Nắp bồn cầu chất liệu nhựa tổng hợp, KT: 445*360mm+-10%, KH: K-4713T, không hiệu,NSX: Toilet Seat Manufacturer (Xiamen), mới 100%</t>
  </si>
  <si>
    <t>Bàn chải cọ rửa vệ sinh bình sữa, chất liệu nhựa tổng hợp, KT:28*6,5cm+-10%, không hiệu, NSX: Guangdong Stationery Co., Ltd.,mới 100%</t>
  </si>
  <si>
    <t>Bộ khóa cửa dùng cho cửa cuốn gồm thân khóa, 3 chìa dẹt và phụ kiện lắp đặt, chất liệu sắt kết hợp nhựa, KT:4*20cm+-10%, không hiệu, Nsx: Zhejiang Zhiyuan Factory, mới 100%</t>
  </si>
  <si>
    <t>Bộ khóa cửa dùng cho cửa cuốn gồm thân khóa, 4 chìa chữ thập và phụ kiện lắp đặt, chất liệu sắt kết hợp nhựa, KT:4*20cm+-10%, không hiệu, Nsx: Zhejiang Zhiyuan Factory, mới 100%</t>
  </si>
  <si>
    <t>Dải nhựa dạng cuộn dùng để bọc cạnh bàn chống va đập, bằng nhựa PVC xốp 1 mặt tự dính, KT: dài 200x3cm +/-10%.không hiệu.Nsx: Taizhou Plastic Mould. mới 100%</t>
  </si>
  <si>
    <t>Dải nhựa dạng cuộn dùng để bọc cạnh bàn chống va đập, bằng nhựa PVC xốp 1 mặt tự dính, KT: dài 200x8cm +/-10%.không hiệu.Nsx: Taizhou Plastic Mould. mới 100%</t>
  </si>
  <si>
    <t>Dải nhựa dạng cuộn dùng để bọc cạnh bàn chống va đập, bằng nhựa PVC xốp 1 mặt tự dính, KT: dài 200x5cm +/-10%.không hiệu.Nsx: Taizhou Plastic Mould. mới 100%</t>
  </si>
  <si>
    <t>Miếng nhựa bọc góc bàn chữ L chống va đập, bằng nhựa PVC xốp, 1 mặt tự dính, 5 cái/ túi, KT: dài 3.5x6cm +/-10%.không hiệu.Nsx: Taizhou Plastic Mould. mới 100%</t>
  </si>
  <si>
    <t>Bộ lọc dầu dùng cho máy nén khí trục vít QX105047. KT: 114x40x230mm+-10%, lưu lượng:120-180l/p, đk ren:38mm, không hiệu. NSX: Jiangxi Sange Filter. Mới 100%</t>
  </si>
  <si>
    <t>Bộ lọc dầu dùng cho máy nén khí trục vít 04425274. KT: 1135*308*100mm+-10%, lưu lượng:120-180l/p, đk ren 38mm, không hiệu. Nsx: Ingersoll Rand. Mới 100%</t>
  </si>
  <si>
    <t>Bộ điều khiển cửa cuốn gồm 1 hộp tín hiệu trung tâm và 3 tay khiển, loại điều khiển bằng sóng hồng ngoại, vỏ bằng nhựa tổng hợp, không chứa dữ liệu, MMDS, sử dụng pin 23A/12V, hiệu: Macdoor. Mới 100%</t>
  </si>
  <si>
    <t>Bộ điều khiển cửa cuốn gồm 1 hộp tín hiệu trung tâm và 2 tay khiển, loại điều khiển bằng sóng hồng ngoại, không chứa dữ liệu, MMDS, sử dụng pin 23A/12V, hiệu: Safety controller. Mới 100%</t>
  </si>
  <si>
    <t>Bàn chải cọ rửa vệ sinh đa năng loại không dùng điện, tay cầm bằng nhựa mặt cọ bằng miếng bọt biển mút xốp. KT: dài 30*8*5cm +/-10, không hiệu, Nsx: Picc property and casualty Co.,ltd, mới 100%</t>
  </si>
  <si>
    <t>Động cơ vạn năng dây đồng xoay chiều/1 chiều, dùng cho máy xay thực phẩm, Đ/a: 220V/24V, cs: 600w, Không hiệu. Nsx: Wenzhou Feiding Motor. Mới 100%</t>
  </si>
  <si>
    <t>Động cơ vạn năng 7712 dây đồng xoay chiều/1 chiều dùng để chế tạo các loại máy công cụ mini cầm tay, đ/a: 220v/12V. cs: 200w, Không hiệu. Nsx: Wenzhou Feiding Motor. Mới 100%</t>
  </si>
  <si>
    <t>Khay nhựa tổng hợp vân kim cương, dùng để đựng đồ trang điểm, trang sức (không chứa đựng thực phẩm), KT: (24*15-18*18)cm+/-10%, không hiệu, Nsx: Dongguan Huashuo Industrial Co., Ltd., mới 100%</t>
  </si>
  <si>
    <t>Đế nhựa dùng để cắm hoa bằng nhựa ABS, KT: 6.8*4.4cm, không hiệu, NSX: Ningbo Bonais Stationery Co., Ltd., mới 100%</t>
  </si>
  <si>
    <t>Tấm lưới chắn thùng xe container bằng sợi vải dù polyester, KT:2.4m*2.6m+-10%, không hiệu, NSX: Shandong Zhongxian Rope &amp; Net Co., Ltd, mới 100%</t>
  </si>
  <si>
    <t>Đèn vòm bán nguyệt chuyên dụng lắp trên bàn làm nail, spa, sử dụng nguồn sáng đi-ốt phát quang LED không phải quang điện, model:2415. CS:36W/AC100-240V. Không hiệu. NSX:Zhongshan Ledlighning. Mới 100%</t>
  </si>
  <si>
    <t>Dây cáp truyền dẫn tín hiệu âm thanh cho tivi đã gắn đầu nối dài 1.8m, không phải cáp điện, không dùng cho viễn thông, lõi nhôm, cách điện bằng nhựa, dòng 48V, ĐK lõi 1mm.Không hiệu.Mới 100%</t>
  </si>
  <si>
    <t>Dây cáp truyền dẫn tín hiệu âm thanh cho loa và micro, không phải cáp điện, không dùng cho viễn thông, lõi đồng kép, cách điện bằng nhựa, Đk lõi 1mm, 100m/cuộn. Đ/a: 48V.Hiệu Huicheng, mới 100%</t>
  </si>
  <si>
    <t>Điều khiển tivi từ xa,loại điều khiển bằng sóng hồng ngoại, vỏ bằng nhựa tổng hợp, KT:56*50*34mm, dùng pin 1.5V. Không hiệu. Nsx: Zhiyuan Desheng Co.,Ltd. Mới 100%</t>
  </si>
  <si>
    <t>Điều khiển tivi từ xa dùng pin AAA, loại điều khiển bằng sóng hồng ngoại, vỏ bằng nhựa tổng hợp. KT: 15-25*4.5*2cm+/-10%. Không hiệu. Nsx: Zhejiang Zhiyuan Factory. Mới 100%</t>
  </si>
  <si>
    <t>Bộ chuyển đổi âm thanh từ loa sang TV(bộ mã hóa),không kết hợp với bộ thu,vỏ bằng nhôm.Đ/a:12V,kí hiệu AQ5601 dòng điện 1A.Hiệu CHOSEAL.Mới 100%</t>
  </si>
  <si>
    <t>Đầu nối (Giắc cắm) kết nối thiết bị âm thanh với micro, chất liệu bằng nhựa lõi đồng, KT: 8*3*33mm+-10%, dòng điện 1A, Không hiệu. NSX: Zhongshan Led lighning. Mới 100%.</t>
  </si>
  <si>
    <t>Đệm ghế massage toàn thân, model: LX-075E, Cs: 12V/36W, hoạt động bằng điện, chất liệu chính mút xốp bọc vải giả da, KT: 105*61.5*41.5cm+-10%, không hiệu. NSX: Shenzhen Dongjilian Electronics,mới 100%</t>
  </si>
  <si>
    <t>Động cơ giảm tốc 1 chiều (không phải động cơ bước) dùng tạo chuyển động cho lò quay vịt. Điện áp: 6-24V/150W. Model: ZYT61 6-24VDC. Tốc độ 15-60 vòng/phút, không hiệu. NSX: PINGYANG JINGE. mới 100%</t>
  </si>
  <si>
    <t>Bánh răng của máy may viền bao, chất liệu bằng sắt, KT:(6*11)cm +/-10%, không hiệu, NSX: Cixi Hongge Electric Appliance Co., Ltd, mới 100%</t>
  </si>
  <si>
    <t>Bộ phận của máy may viền túi vải PP không dệt: Bộ khuôn dán viền túi gồm tấm khuôn và cụm khuôn ép,bằng thép hợp kim. KT dài 300mm+-10%, không hiệu. NSX: Cixi Hongge Electric Appliance, mới 100%</t>
  </si>
  <si>
    <t>Bộ phận của máy may viền túi vải PP không dệt: Con lăn dùng để tạo đường hàn biên, KT: 52*23mm+-10%, không hiệu, NSX: Cixi Hongge Electric Appliance Co., Ltd, mới 100%</t>
  </si>
  <si>
    <t>Cánh hoa nhân tạo bằng giấy sáp, KT: đk 3.5-4.5cm+-10%, không hiệu. Nsx: Guangdong Daming Decoration Co., Ltd, Mới 100%</t>
  </si>
  <si>
    <t>Điều khiển điều hòa từ xa, điều khiển bằng sóng hồng ngoại, vỏ bằng nhựa PVC. Không hiệu. Nsx: Shanghai shanghua electronic Co.,Ltd. Mới 100%</t>
  </si>
  <si>
    <t>Máy cưa bê tông đĩa tròn cầm tay không chổi than model K6006, hoạt động bằng điện, đ/a: 220V, cs: 55W, tốc độ: 2700 vòng/p, không hiệu,NSX: Ningbo zhihao machinery. Mới 100%</t>
  </si>
  <si>
    <t>Đèn chiếu sáng trang trí bể cá cảnh, Model:DY-A200, sử dụng nguồn sáng đi ốt phát quang (LED) không phải loại quang điện. KT: 20*15*8cm. CS: 18W/220V. Hiệu:DEYAO. Mới 100%</t>
  </si>
  <si>
    <t>Đèn chiếu sáng trang trí bể cá cảnh, Model:DY-A300, sử dụng nguồn sáng đi ốt phát quang (LED) không phải loại quang điện. KT: 30*15*8cm. CS: 22W/220V. Hiệu:DEYAO. Mới 100%</t>
  </si>
  <si>
    <t>Đèn chiếu sáng trang trí bể cá cảnh, Model:DY-A400, sử dụng nguồn sáng đi ốt phát quang (LED) không phải loại quang điện. KT: 40*15*8cm. CS: 28W/220V. Hiệu:DEYAO. Mới 100%</t>
  </si>
  <si>
    <t>Đèn chiếu sáng trang trí bể cá cảnh, Model:DY-A500, sử dụng nguồn sáng đi ốt phát quang (LED) không phải loại quang điện. KT: 50*15*8cm. CS: 34W/220V. Hiệu:DEYAO. Mới 100%</t>
  </si>
  <si>
    <t>Đèn chiếu sáng trang trí bể cá cảnh, Model:DY-A600, sử dụng nguồn sáng đi ốt phát quang (LED) không phải loại quang điện. KT: 60*15*8cm. CS: 38W/220V. Hiệu:DEYAO. Mới 100%</t>
  </si>
  <si>
    <t>Đèn chiếu sáng trang trí bể cá cảnh, Model:DY-A800, sử dụng nguồn sáng đi ốt phát quang (LED) không phải loại quang điện. KT: 80*15*8cm. CS: 46W/220V. Hiệu:DEYAO. Mới 100%</t>
  </si>
  <si>
    <t>Đèn chiếu sáng trang trí bể cá cảnh, Model:DY-A1000, sử dụng nguồn sáng đi ốt phát quang (LED) không phải loại quang điện. KT: 100*15*8cm. CS: 55W/220V. Hiệu:DEYAO. Mới 100%</t>
  </si>
  <si>
    <t>Đèn chiếu sáng trang trí bể cá cảnh, Model: E23, sử dụng nguồn sáng đi ốt phát quang (LED) không phải loại quang điện. KT: 30*10*8cm. Công suất:12w/220V. Hiệu:DEYAO. Mới 100%</t>
  </si>
  <si>
    <t>Đèn chiếu sáng trang trí bể cá cảnh, Model:E29 , sử dụng nguồn sáng đi ốt phát quang (LED) không phải loại quang điện. KT: 40*10*8cm. Công suất:16w/220V. Hiệu:DEYAO. Mới 100%</t>
  </si>
  <si>
    <t>Đèn chiếu sáng trang trí bể cá cảnh, Model: E39, sử dụng nguồn sáng đi ốt phát quang (LED) không phải loại quang điện. KT: 40*10*8cm. Công suất:20w/220V. Hiệu:DEYAO. Mới 100%</t>
  </si>
  <si>
    <t>Đèn chiếu sáng trang trí bể cá cảnh, Model: E49 , sử dụng nguồn sáng đi ốt phát quang (LED) không phải loại quang điện. KT: 40*10*8cm. Công suất:24w/220V. Hiệu:DEYAO. Mới 100%</t>
  </si>
  <si>
    <t>Đèn chiếu sáng trang trí bể cá cảnh, Model:CF02, sử dụng nguồn sáng đi ốt phát quang (LED), không phải loại quang điện. KT: 18*15*6cm.Công suất: 13W-220V. Hiệu:DEYAO. Mới 100%</t>
  </si>
  <si>
    <t>Đèn chiếu sáng trang trí bể cá cảnh, Model:F-01, sử dụng nguồn sáng đi ốt phát quang (LED), không phải loại quang điện KT: 35*15*10cm.Công suất: 12W-220V. Hiệu:DEYAO. Mới 100%</t>
  </si>
  <si>
    <t>Đèn chiếu sáng trang trí bể cá cảnh, Model:F-07, sử dụng nguồn sáng đi ốt phát quang (LED), không phải loại quang điện. KT: 35*15*10cm.Công suất: 20W-220V. Hiệu:DEYAO. Mới 100%</t>
  </si>
  <si>
    <t>Đèn chiếu sáng trang trí bể cá cảnh, Model:F-09, sử dụng nguồn sáng đi ốt phát quang (LED, không phải loại quang điện. KT: 35*15*10cm.Công suất: 15W-220V. Hiệu:DEYAO. Mới 100%</t>
  </si>
  <si>
    <t>Hộp giấy bìa không sóng có thể gấp lại dùng để đóng gói, vận chuyển hoa sáp, KT: 46*24*8cm+-10%, không hiệu. Nsx: Guangdong Daming Decoration Co., Ltd, Mới 100%</t>
  </si>
  <si>
    <t>Khay nhựa PVC định hình bóng khí, dùng lót đáy hộp quà tặng khi đóng gói vận chuyển, chất liệu nhựa PVC, KT: 44*22*3.1cm+-10%, không hiệu. Nsx: Guangdong Daming Decoration Co., Ltd, Mới 100%</t>
  </si>
  <si>
    <t>Giày bốt trẻ em cổ cao quá mắt cá chân, không đúc, đế bằng cao su mềm, mũ giày bằng nhựa giả da, mũi không gắn bảo vệ, size 22-31. KH:D509, không hiệu. NSX:Jinjiang Anao Footwear Co.,Ltd. mới 100%</t>
  </si>
  <si>
    <t>Trạm mồi chống mối nổi kèm phụ kiện lắp đặt, không thấm tẩm hóa chất, chất liệu bằng nhựa tổng hợp, KT: 16.5*8.5*6.5cm+-10%, không hiệu. NSX: Shenzhen iPest Technology Co., Ltd. mới 100%</t>
  </si>
  <si>
    <t>Bánh xe treo cửa thang máy, chất liệu bằng thép không gỉ. KT: (56*14)mm, model: 6201RS, không hiệu. NSX: Tiyou Elevator Parts. Mới 100%</t>
  </si>
  <si>
    <t>Bánh xe treo cửa thang máy, rãnh phẳng, chất liệu bằng thép không gỉ. KT: (62*16)mm, model: 6203, không hiệu. NSX: Tiyou Elevator Parts. Mới 100%</t>
  </si>
  <si>
    <t>Bông hoa tuylip nhân tạo, chất liệu nhựa PVC, lõi bằng thép, đã định hình hoàn chỉnh, dùng để trang trí. KT: (35*4)cm+/-10%, không hiệu. NSX: Yuchen Artificial Flower Strength Supplier, mới 100%</t>
  </si>
  <si>
    <t>Máy phun sơn tĩnh điện dùng để phun sơn hoàn thiện bề mặt các sản phẩm bằng kim loại,kèm khung đỡ có bánh xe.Model:FlexiSpray F1,điện áp:AC100-240,CS: 50W. NSX: Foshan Debelle Technology,mới 100%</t>
  </si>
  <si>
    <t>Miếng dán kính cường lựcBAIKO GLASS trong suốt ko viền đen dùng cho điện thoại,loại an toàn 2lớp(kính dán an toàn nhiều lớp),CLsợi thủy tinh,có lớp bảo vệ bằng nhựa.KT:(185*75*25)mm,hiệu:BAIKO.Mới100%</t>
  </si>
  <si>
    <t>CN082822-10HN</t>
  </si>
  <si>
    <t>CN090109-1HN</t>
  </si>
  <si>
    <t>CN083010-1HN</t>
  </si>
  <si>
    <t>CN090110-1HN</t>
  </si>
  <si>
    <t>CN082415-12HN</t>
  </si>
  <si>
    <t>CN082915-4HN</t>
  </si>
  <si>
    <t>CN082916-5HN</t>
  </si>
  <si>
    <t>CN083006-50HN</t>
  </si>
  <si>
    <t>CN083114-12HN</t>
  </si>
  <si>
    <t>CN090113-14HN</t>
  </si>
  <si>
    <t>CN090213-2HN</t>
  </si>
  <si>
    <t>CN090211-18HN</t>
  </si>
  <si>
    <t>CN090301-30HN</t>
  </si>
  <si>
    <t>CN090304-120HN</t>
  </si>
  <si>
    <t>CN090204-36HN</t>
  </si>
  <si>
    <t>CN083005-6HN</t>
  </si>
  <si>
    <t>CN083104-34HN</t>
  </si>
  <si>
    <t>CN090310-79HN</t>
  </si>
  <si>
    <t>CN080904-4HN
CN082823-2HN</t>
  </si>
  <si>
    <t>CN081808-1HN</t>
  </si>
  <si>
    <t>CN081904-25HN</t>
  </si>
  <si>
    <t>CN082813-2HN</t>
  </si>
  <si>
    <t>CN083011-3HN</t>
  </si>
  <si>
    <t>CN083102-5HN</t>
  </si>
  <si>
    <t>CN083103-2HN</t>
  </si>
  <si>
    <t>CN083106-1HN</t>
  </si>
  <si>
    <t>CN083107-39HN</t>
  </si>
  <si>
    <t>CN083108-2HN</t>
  </si>
  <si>
    <t>CN083110-60HN</t>
  </si>
  <si>
    <t>CN083111-7HN</t>
  </si>
  <si>
    <t>CN083112-4HN</t>
  </si>
  <si>
    <t>CN090212-7HN</t>
  </si>
  <si>
    <t>CN083115-34HN</t>
  </si>
  <si>
    <t>CN090102-13HN</t>
  </si>
  <si>
    <t>CN090103-10HN</t>
  </si>
  <si>
    <t>CN090104-3HN</t>
  </si>
  <si>
    <t>CN090105-40HN</t>
  </si>
  <si>
    <t>CN090108-152HN</t>
  </si>
  <si>
    <t>CN090112-31HN</t>
  </si>
  <si>
    <t>CN090114-25HN</t>
  </si>
  <si>
    <t>CN090203-5HN</t>
  </si>
  <si>
    <t>CN090206-4HN</t>
  </si>
  <si>
    <t>CN090207-1HN</t>
  </si>
  <si>
    <t>K090201-16HN</t>
  </si>
  <si>
    <t>CN090307-51HN</t>
  </si>
  <si>
    <t>CN090311-17HN</t>
  </si>
  <si>
    <t>CN090309-265HN</t>
  </si>
  <si>
    <t>K090301-5HN
K090302-9HN</t>
  </si>
  <si>
    <t>CN090405-4HN</t>
  </si>
  <si>
    <t>CN082826-5HN</t>
  </si>
  <si>
    <t>CN082910-2HN</t>
  </si>
  <si>
    <t>CN090406-10HN</t>
  </si>
  <si>
    <t>CN090409-28HN</t>
  </si>
  <si>
    <t>Khai bù</t>
  </si>
  <si>
    <t>24000
Giá cũ</t>
  </si>
  <si>
    <t>Giá cũ</t>
  </si>
  <si>
    <t>Dusting cloth</t>
  </si>
  <si>
    <t>Tea set</t>
  </si>
  <si>
    <t>Teapot</t>
  </si>
  <si>
    <t>Tea cup</t>
  </si>
  <si>
    <t>Teapot tray</t>
  </si>
  <si>
    <t>Tea rinse bowl</t>
  </si>
  <si>
    <t>Flow control switch</t>
  </si>
  <si>
    <t>Pneumatic Manifold</t>
  </si>
  <si>
    <t>Pickleball racket</t>
  </si>
  <si>
    <t>Pet bodice</t>
  </si>
  <si>
    <t>Pet leash</t>
  </si>
  <si>
    <t>Shower head holder</t>
  </si>
  <si>
    <t>Trays</t>
  </si>
  <si>
    <t>Hotpot pot</t>
  </si>
  <si>
    <t>Velvet zinc wire</t>
  </si>
  <si>
    <t>Scouring pad</t>
  </si>
  <si>
    <t>Box of 4 ballpoint pens</t>
  </si>
  <si>
    <t>Ice maker machine</t>
  </si>
  <si>
    <t>Massage machine</t>
  </si>
  <si>
    <t>Wash tub</t>
  </si>
  <si>
    <t>Roller shutter controller</t>
  </si>
  <si>
    <t>Limit switch</t>
  </si>
  <si>
    <t>Power adapter</t>
  </si>
  <si>
    <t>Belt</t>
  </si>
  <si>
    <t>Toilet seat lid</t>
  </si>
  <si>
    <t>Cleaning brush</t>
  </si>
  <si>
    <t>Door lock set</t>
  </si>
  <si>
    <t>Plastic strip roll</t>
  </si>
  <si>
    <t>L-shaped table corner protector</t>
  </si>
  <si>
    <t>Oil filter</t>
  </si>
  <si>
    <t>Motor</t>
  </si>
  <si>
    <t>Plastic storage tray</t>
  </si>
  <si>
    <t>Shoes</t>
  </si>
  <si>
    <t>Ballet flats</t>
  </si>
  <si>
    <t>Mechanical thermo hygrometer</t>
  </si>
  <si>
    <t>Flower frog</t>
  </si>
  <si>
    <t>Cargo net</t>
  </si>
  <si>
    <t>LED half-moon lamp</t>
  </si>
  <si>
    <t>Audio cable</t>
  </si>
  <si>
    <t>TV remote control</t>
  </si>
  <si>
    <t>Audio converter</t>
  </si>
  <si>
    <t>Connector</t>
  </si>
  <si>
    <t>Gear reduction motor</t>
  </si>
  <si>
    <t>Gears</t>
  </si>
  <si>
    <t>Bag sealing die set</t>
  </si>
  <si>
    <t>Roller</t>
  </si>
  <si>
    <t>Artificial flower petals</t>
  </si>
  <si>
    <t>Air conditioner remote control</t>
  </si>
  <si>
    <t>Concrete cutter</t>
  </si>
  <si>
    <t>Aquarium lighting lamp</t>
  </si>
  <si>
    <t>Folding paper box</t>
  </si>
  <si>
    <t>Boots</t>
  </si>
  <si>
    <t>Termite bait station</t>
  </si>
  <si>
    <t>Hanger roller</t>
  </si>
  <si>
    <t>Artificial tulip</t>
  </si>
  <si>
    <t>Flower wrapping paper</t>
  </si>
  <si>
    <t>Paint spraying machine</t>
  </si>
  <si>
    <t>TOTAL: 1330 Cartons</t>
  </si>
  <si>
    <t>Dây thắt lưng nam nữ Y2K chất liệu nhựa giả da (PU), KT: rộng 2.8cm, dài 105cm+-10%, KH: OLL402, không hiệu, Nsx: Qingdao fashion Co., Ltd, Mới 100%</t>
  </si>
  <si>
    <t>Giày thể thao beier viền xanh, viền xám, đế giày bằng cao su mềm, thân và mũi giày bằng da tổng hợp phối vải lưới, màu trắng size 36-40, hiệu Beier, mới 100%</t>
  </si>
  <si>
    <t>Giày sneaker beier kitty, đế giày bằng cao su mềm, thân và mũi giày bằng da tổng hợp phối vải lưới, 2 màu hồng , be, size 36-40, hiệu Beier, mới 100%</t>
  </si>
  <si>
    <t>Giày búp bê nữ beier, đế giày bằng cao su mềm, thân và mũi giày bằng da tổng hợp phối vải lưới, 2 màu be, trắng size 36-40, hiệu Beier, mới 100%</t>
  </si>
  <si>
    <t>Đồng hồ đo nhiệt độ và độ ẩm cơ học (Th600B) đo không khí trong phòng, không dùng điện, chất liệu inox. KT: (20.5*16)cm+/-10%, hiệu: ANYMETRE, mới 100%</t>
  </si>
  <si>
    <t>Điều khiển tivi từ xa thông minh, loại điều khiển bằng sóng hồng ngoại, vỏ bằng nhựa tổng hợp. Không hiệu. Nsx: Qingdao Desheng Co.,Ltd. Mới 100%</t>
  </si>
  <si>
    <t>Điều khiển tivi từ xa dùng pin AAA,loại điều khiển bằng sóng hồng ngoại, vỏ bằng nhựa tổng hợp. Không hiệu. Nsx: Guangdong Co.,Ltd. Mới 100%</t>
  </si>
  <si>
    <t>Máy massage đầu gối 5 chế độ hoạt động, dùng để massage thư giãn, giảm mỏi cơ vùng đầu gối. Công suất: 3.7V/10W, dung lượng pin 2000 mAh. Model: DG11.Hiệu: DELAX, mới 100%</t>
  </si>
  <si>
    <t>Giấy gói hoa dạng giấy nhún, được làm từ bột gỗ xenlulo, đã nhuộm màu bề mặt, dạng tấm, KT: (50*230)cm+/-10%, không hiệu. Nsx: Jiangxi Yuanna Packaging Material Co., Ltd. Mới 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</si>
</sst>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3" formatCode="_(* #,##0.00_);_(* \(#,##0.00\);_(* &quot;-&quot;??_);_(@_)"/>
    <numFmt numFmtId="164" formatCode="_-* #,##0.00_-;\-* #,##0.00_-;_-* &quot;-&quot;??_-;_-@_-"/>
    <numFmt numFmtId="165" formatCode="&quot;Ngày &quot;dd&quot; tháng &quot;mm&quot; năm &quot;yyyy"/>
    <numFmt numFmtId="166" formatCode="&quot;Số:&quot;\ &quot;NKTQ&quot;"/>
    <numFmt numFmtId="167" formatCode="[$-809]dd\ mmmm\ yyyy;@"/>
    <numFmt numFmtId="168" formatCode="_(* #,##0_);_(* \(#,##0\);_(* &quot;-&quot;??_);_(@_)"/>
    <numFmt numFmtId="169" formatCode="_-* #,##0_-;\-* #,##0_-;_-* &quot;-&quot;??_-;_-@_-"/>
    <numFmt numFmtId="170" formatCode="#,##0.0"/>
    <numFmt numFmtId="171" formatCode="dd/mm/yyyy;@"/>
    <numFmt numFmtId="172" formatCode="#,##0.000"/>
    <numFmt numFmtId="173" formatCode="_-* #,##0.000_-;\-* #,##0.000_-;_-* &quot;-&quot;??_-;_-@_-"/>
    <numFmt numFmtId="174" formatCode="_-* #,##0.0000_-;\-* #,##0.0000_-;_-* &quot;-&quot;??_-;_-@_-"/>
    <numFmt numFmtId="175" formatCode="#,##0.0000_ ;\-#,##0.0000\ "/>
    <numFmt numFmtId="176" formatCode="_(* #,##0.000_);_(* \(#,##0.000\);_(* &quot;-&quot;??_);_(@_)"/>
    <numFmt numFmtId="177" formatCode="_(* #,##0.000_);_(* \(#,##0.000\);_(* &quot;-&quot;???_);_(@_)"/>
    <numFmt numFmtId="178" formatCode="0_);\(0\)"/>
  </numFmts>
  <fonts count="90">
    <font>
      <sz val="10"/>
      <name val="Arial"/>
    </font>
    <font>
      <sz val="11"/>
      <color indexed="8"/>
      <name val="Calibri"/>
      <family val="2"/>
    </font>
    <font>
      <sz val="10"/>
      <name val="Arial"/>
      <family val="2"/>
    </font>
    <font>
      <b/>
      <sz val="10"/>
      <name val="Times New Roman"/>
      <family val="1"/>
    </font>
    <font>
      <sz val="10"/>
      <name val="Times New Roman"/>
      <family val="1"/>
    </font>
    <font>
      <sz val="12"/>
      <name val="Times New Roman"/>
      <family val="1"/>
    </font>
    <font>
      <b/>
      <sz val="11"/>
      <name val="Times New Roman"/>
      <family val="1"/>
    </font>
    <font>
      <b/>
      <sz val="12"/>
      <name val="Times New Roman"/>
      <family val="1"/>
    </font>
    <font>
      <b/>
      <i/>
      <sz val="12"/>
      <name val="Times New Roman"/>
      <family val="1"/>
    </font>
    <font>
      <sz val="8"/>
      <name val="Arial"/>
      <family val="2"/>
    </font>
    <font>
      <b/>
      <u/>
      <sz val="10"/>
      <name val="Times New Roman"/>
      <family val="1"/>
    </font>
    <font>
      <sz val="10"/>
      <name val="Arial"/>
      <family val="2"/>
    </font>
    <font>
      <sz val="11"/>
      <name val="Times New Roman"/>
      <family val="1"/>
    </font>
    <font>
      <sz val="8"/>
      <color indexed="81"/>
      <name val="Tahoma"/>
      <family val="2"/>
    </font>
    <font>
      <b/>
      <sz val="8"/>
      <color indexed="81"/>
      <name val="Tahoma"/>
      <family val="2"/>
    </font>
    <font>
      <b/>
      <sz val="10"/>
      <color indexed="81"/>
      <name val="Tahoma"/>
      <family val="2"/>
    </font>
    <font>
      <sz val="10"/>
      <color indexed="81"/>
      <name val="Tahoma"/>
      <family val="2"/>
    </font>
    <font>
      <sz val="8"/>
      <color indexed="81"/>
      <name val="Tahoma"/>
      <family val="2"/>
      <charset val="163"/>
    </font>
    <font>
      <b/>
      <sz val="8"/>
      <color indexed="81"/>
      <name val="Tahoma"/>
      <family val="2"/>
      <charset val="163"/>
    </font>
    <font>
      <b/>
      <sz val="11"/>
      <color indexed="10"/>
      <name val="Times New Roman"/>
      <family val="1"/>
    </font>
    <font>
      <sz val="10"/>
      <name val="Arial"/>
      <family val="2"/>
      <charset val="163"/>
    </font>
    <font>
      <sz val="11"/>
      <color indexed="8"/>
      <name val="Calibri"/>
      <family val="2"/>
    </font>
    <font>
      <sz val="8"/>
      <name val="Arial"/>
      <family val="2"/>
      <charset val="163"/>
    </font>
    <font>
      <sz val="12"/>
      <name val="Times New Roman"/>
      <family val="1"/>
      <charset val="163"/>
    </font>
    <font>
      <sz val="8"/>
      <name val="Times New Roman"/>
      <family val="1"/>
    </font>
    <font>
      <b/>
      <sz val="18"/>
      <name val="Times New Roman"/>
      <family val="1"/>
    </font>
    <font>
      <b/>
      <vertAlign val="superscript"/>
      <sz val="11"/>
      <name val="Times New Roman"/>
      <family val="1"/>
    </font>
    <font>
      <b/>
      <sz val="12"/>
      <color indexed="12"/>
      <name val="Times New Roman"/>
      <family val="1"/>
    </font>
    <font>
      <b/>
      <u/>
      <sz val="12"/>
      <color indexed="12"/>
      <name val="Times New Roman"/>
      <family val="1"/>
    </font>
    <font>
      <b/>
      <sz val="12"/>
      <color indexed="10"/>
      <name val="Times New Roman"/>
      <family val="1"/>
    </font>
    <font>
      <sz val="12"/>
      <color indexed="10"/>
      <name val="Times New Roman"/>
      <family val="1"/>
    </font>
    <font>
      <sz val="11"/>
      <color indexed="8"/>
      <name val="Times New Roman"/>
      <family val="2"/>
    </font>
    <font>
      <sz val="11"/>
      <color indexed="8"/>
      <name val="Times New Roman"/>
      <family val="2"/>
      <charset val="163"/>
    </font>
    <font>
      <b/>
      <i/>
      <sz val="11"/>
      <name val="Times New Roman"/>
      <family val="1"/>
    </font>
    <font>
      <b/>
      <sz val="11"/>
      <color indexed="12"/>
      <name val="Times New Roman"/>
      <family val="1"/>
    </font>
    <font>
      <b/>
      <u/>
      <sz val="11"/>
      <name val="Times New Roman"/>
      <family val="1"/>
    </font>
    <font>
      <b/>
      <u/>
      <sz val="11"/>
      <color indexed="12"/>
      <name val="Times New Roman"/>
      <family val="1"/>
    </font>
    <font>
      <sz val="11"/>
      <color indexed="12"/>
      <name val="Times New Roman"/>
      <family val="1"/>
    </font>
    <font>
      <sz val="10"/>
      <name val="VNI-Times"/>
      <family val="2"/>
    </font>
    <font>
      <sz val="10"/>
      <name val=".VnArial"/>
      <family val="2"/>
    </font>
    <font>
      <sz val="11"/>
      <color indexed="8"/>
      <name val="Times New Roman"/>
      <family val="1"/>
    </font>
    <font>
      <b/>
      <i/>
      <sz val="10"/>
      <name val="Times New Roman"/>
      <family val="1"/>
    </font>
    <font>
      <i/>
      <sz val="9"/>
      <name val="Times New Roman"/>
      <family val="1"/>
    </font>
    <font>
      <sz val="9"/>
      <name val="Times New Roman"/>
      <family val="1"/>
    </font>
    <font>
      <sz val="9"/>
      <color indexed="10"/>
      <name val="Times New Roman"/>
      <family val="1"/>
    </font>
    <font>
      <b/>
      <u/>
      <sz val="9"/>
      <name val="Times New Roman"/>
      <family val="1"/>
    </font>
    <font>
      <b/>
      <sz val="9"/>
      <name val="Times New Roman"/>
      <family val="1"/>
    </font>
    <font>
      <sz val="8.5"/>
      <name val="Times New Roman"/>
      <family val="1"/>
    </font>
    <font>
      <b/>
      <i/>
      <sz val="8.5"/>
      <name val="Times New Roman"/>
      <family val="1"/>
    </font>
    <font>
      <b/>
      <sz val="8.5"/>
      <color indexed="12"/>
      <name val="Times New Roman"/>
      <family val="1"/>
    </font>
    <font>
      <b/>
      <sz val="10"/>
      <name val="Arial"/>
      <family val="2"/>
    </font>
    <font>
      <b/>
      <u/>
      <sz val="12"/>
      <name val="Times New Roman"/>
      <family val="1"/>
    </font>
    <font>
      <b/>
      <sz val="10"/>
      <color indexed="10"/>
      <name val="Times New Roman"/>
      <family val="1"/>
    </font>
    <font>
      <sz val="12"/>
      <name val="新細明體"/>
      <charset val="134"/>
    </font>
    <font>
      <u/>
      <sz val="10"/>
      <name val="Times New Roman"/>
      <family val="1"/>
    </font>
    <font>
      <i/>
      <sz val="10"/>
      <name val="Times New Roman"/>
      <family val="1"/>
    </font>
    <font>
      <b/>
      <i/>
      <sz val="9"/>
      <name val="Times New Roman"/>
      <family val="1"/>
    </font>
    <font>
      <sz val="13"/>
      <name val="Times New Roman"/>
      <family val="1"/>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sz val="18"/>
      <color theme="3"/>
      <name val="Cambria"/>
      <family val="2"/>
      <scheme val="major"/>
    </font>
    <font>
      <b/>
      <sz val="11"/>
      <color theme="1"/>
      <name val="Calibri"/>
      <family val="2"/>
      <scheme val="minor"/>
    </font>
    <font>
      <sz val="11"/>
      <color rgb="FFFF0000"/>
      <name val="Calibri"/>
      <family val="2"/>
      <scheme val="minor"/>
    </font>
    <font>
      <sz val="12"/>
      <color rgb="FFFF0000"/>
      <name val="Times New Roman"/>
      <family val="1"/>
    </font>
    <font>
      <b/>
      <sz val="12"/>
      <color rgb="FFFF0000"/>
      <name val="Times New Roman"/>
      <family val="1"/>
    </font>
    <font>
      <b/>
      <sz val="11"/>
      <color rgb="FF000000"/>
      <name val="Times New Roman"/>
      <family val="1"/>
    </font>
    <font>
      <sz val="11"/>
      <color theme="1"/>
      <name val="Times New Roman"/>
      <family val="1"/>
    </font>
    <font>
      <sz val="12"/>
      <color theme="1"/>
      <name val="Times New Roman"/>
      <family val="1"/>
    </font>
    <font>
      <b/>
      <sz val="12"/>
      <color theme="1"/>
      <name val="Times New Roman"/>
      <family val="1"/>
    </font>
    <font>
      <sz val="12"/>
      <color rgb="FF000000"/>
      <name val="Times New Roman"/>
      <family val="1"/>
    </font>
    <font>
      <sz val="12"/>
      <color theme="0"/>
      <name val="Times New Roman"/>
      <family val="1"/>
    </font>
    <font>
      <sz val="10"/>
      <color theme="1"/>
      <name val="Times New Roman"/>
      <family val="1"/>
    </font>
    <font>
      <b/>
      <sz val="10"/>
      <color theme="1"/>
      <name val="Times New Roman"/>
      <family val="1"/>
    </font>
    <font>
      <b/>
      <sz val="11"/>
      <color theme="1"/>
      <name val="Times New Roman"/>
      <family val="1"/>
    </font>
    <font>
      <sz val="11"/>
      <color rgb="FF1F2329"/>
      <name val="Times New Roman"/>
      <family val="1"/>
    </font>
    <font>
      <b/>
      <u/>
      <sz val="12"/>
      <color theme="1"/>
      <name val="Times New Roman"/>
      <family val="1"/>
    </font>
    <font>
      <b/>
      <sz val="18"/>
      <color theme="1"/>
      <name val="Times New Roman"/>
      <family val="1"/>
    </font>
    <font>
      <b/>
      <u/>
      <sz val="14"/>
      <color theme="1"/>
      <name val="Times New Roman"/>
      <family val="1"/>
    </font>
  </fonts>
  <fills count="46">
    <fill>
      <patternFill patternType="none"/>
    </fill>
    <fill>
      <patternFill patternType="gray125"/>
    </fill>
    <fill>
      <patternFill patternType="solid">
        <fgColor indexed="9"/>
        <bgColor indexed="64"/>
      </patternFill>
    </fill>
    <fill>
      <patternFill patternType="solid">
        <fgColor indexed="52"/>
        <bgColor indexed="64"/>
      </patternFill>
    </fill>
    <fill>
      <patternFill patternType="solid">
        <fgColor indexed="41"/>
        <bgColor indexed="64"/>
      </patternFill>
    </fill>
    <fill>
      <patternFill patternType="solid">
        <fgColor indexed="47"/>
        <bgColor indexed="64"/>
      </patternFill>
    </fill>
    <fill>
      <patternFill patternType="solid">
        <fgColor indexed="45"/>
        <bgColor indexed="64"/>
      </patternFill>
    </fill>
    <fill>
      <patternFill patternType="solid">
        <fgColor indexed="42"/>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rgb="FFFFFF00"/>
        <bgColor indexed="64"/>
      </patternFill>
    </fill>
    <fill>
      <patternFill patternType="solid">
        <fgColor theme="0"/>
        <bgColor indexed="8"/>
      </patternFill>
    </fill>
    <fill>
      <patternFill patternType="solid">
        <fgColor rgb="FFFFC000"/>
        <bgColor indexed="64"/>
      </patternFill>
    </fill>
    <fill>
      <patternFill patternType="solid">
        <fgColor rgb="FFFFFFFF"/>
        <bgColor indexed="64"/>
      </patternFill>
    </fill>
    <fill>
      <patternFill patternType="solid">
        <fgColor theme="3" tint="0.79998168889431442"/>
        <bgColor indexed="64"/>
      </patternFill>
    </fill>
    <fill>
      <patternFill patternType="solid">
        <fgColor rgb="FFFF0000"/>
        <bgColor indexed="64"/>
      </patternFill>
    </fill>
  </fills>
  <borders count="27">
    <border>
      <left/>
      <right/>
      <top/>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0"/>
      </left>
      <right style="thin">
        <color indexed="0"/>
      </right>
      <top style="thin">
        <color indexed="0"/>
      </top>
      <bottom style="thin">
        <color indexed="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s>
  <cellStyleXfs count="68">
    <xf numFmtId="0" fontId="0" fillId="0" borderId="0"/>
    <xf numFmtId="0" fontId="58" fillId="8" borderId="0" applyNumberFormat="0" applyBorder="0" applyAlignment="0" applyProtection="0"/>
    <xf numFmtId="0" fontId="58" fillId="9" borderId="0" applyNumberFormat="0" applyBorder="0" applyAlignment="0" applyProtection="0"/>
    <xf numFmtId="0" fontId="58" fillId="10" borderId="0" applyNumberFormat="0" applyBorder="0" applyAlignment="0" applyProtection="0"/>
    <xf numFmtId="0" fontId="58" fillId="11" borderId="0" applyNumberFormat="0" applyBorder="0" applyAlignment="0" applyProtection="0"/>
    <xf numFmtId="0" fontId="58" fillId="12" borderId="0" applyNumberFormat="0" applyBorder="0" applyAlignment="0" applyProtection="0"/>
    <xf numFmtId="0" fontId="58" fillId="13" borderId="0" applyNumberFormat="0" applyBorder="0" applyAlignment="0" applyProtection="0"/>
    <xf numFmtId="0" fontId="58" fillId="14" borderId="0" applyNumberFormat="0" applyBorder="0" applyAlignment="0" applyProtection="0"/>
    <xf numFmtId="0" fontId="58" fillId="15" borderId="0" applyNumberFormat="0" applyBorder="0" applyAlignment="0" applyProtection="0"/>
    <xf numFmtId="0" fontId="58" fillId="16" borderId="0" applyNumberFormat="0" applyBorder="0" applyAlignment="0" applyProtection="0"/>
    <xf numFmtId="0" fontId="58" fillId="17" borderId="0" applyNumberFormat="0" applyBorder="0" applyAlignment="0" applyProtection="0"/>
    <xf numFmtId="0" fontId="58" fillId="18" borderId="0" applyNumberFormat="0" applyBorder="0" applyAlignment="0" applyProtection="0"/>
    <xf numFmtId="0" fontId="58" fillId="19" borderId="0" applyNumberFormat="0" applyBorder="0" applyAlignment="0" applyProtection="0"/>
    <xf numFmtId="0" fontId="59" fillId="20" borderId="0" applyNumberFormat="0" applyBorder="0" applyAlignment="0" applyProtection="0"/>
    <xf numFmtId="0" fontId="59" fillId="21" borderId="0" applyNumberFormat="0" applyBorder="0" applyAlignment="0" applyProtection="0"/>
    <xf numFmtId="0" fontId="59" fillId="22" borderId="0" applyNumberFormat="0" applyBorder="0" applyAlignment="0" applyProtection="0"/>
    <xf numFmtId="0" fontId="59" fillId="23" borderId="0" applyNumberFormat="0" applyBorder="0" applyAlignment="0" applyProtection="0"/>
    <xf numFmtId="0" fontId="59" fillId="24" borderId="0" applyNumberFormat="0" applyBorder="0" applyAlignment="0" applyProtection="0"/>
    <xf numFmtId="0" fontId="59" fillId="25" borderId="0" applyNumberFormat="0" applyBorder="0" applyAlignment="0" applyProtection="0"/>
    <xf numFmtId="0" fontId="59" fillId="26" borderId="0" applyNumberFormat="0" applyBorder="0" applyAlignment="0" applyProtection="0"/>
    <xf numFmtId="0" fontId="59" fillId="27" borderId="0" applyNumberFormat="0" applyBorder="0" applyAlignment="0" applyProtection="0"/>
    <xf numFmtId="0" fontId="59" fillId="28" borderId="0" applyNumberFormat="0" applyBorder="0" applyAlignment="0" applyProtection="0"/>
    <xf numFmtId="0" fontId="59" fillId="29" borderId="0" applyNumberFormat="0" applyBorder="0" applyAlignment="0" applyProtection="0"/>
    <xf numFmtId="0" fontId="59" fillId="30" borderId="0" applyNumberFormat="0" applyBorder="0" applyAlignment="0" applyProtection="0"/>
    <xf numFmtId="0" fontId="59" fillId="31" borderId="0" applyNumberFormat="0" applyBorder="0" applyAlignment="0" applyProtection="0"/>
    <xf numFmtId="0" fontId="60" fillId="32" borderId="0" applyNumberFormat="0" applyBorder="0" applyAlignment="0" applyProtection="0"/>
    <xf numFmtId="0" fontId="61" fillId="33" borderId="13" applyNumberFormat="0" applyAlignment="0" applyProtection="0"/>
    <xf numFmtId="0" fontId="62" fillId="34" borderId="14" applyNumberFormat="0" applyAlignment="0" applyProtection="0"/>
    <xf numFmtId="164" fontId="2" fillId="0" borderId="0" applyFont="0" applyFill="0" applyBorder="0" applyAlignment="0" applyProtection="0"/>
    <xf numFmtId="165" fontId="20" fillId="0" borderId="0" applyFont="0" applyFill="0" applyBorder="0" applyAlignment="0" applyProtection="0"/>
    <xf numFmtId="165" fontId="20" fillId="0" borderId="0" applyFont="0" applyFill="0" applyBorder="0" applyAlignment="0" applyProtection="0"/>
    <xf numFmtId="43" fontId="58" fillId="0" borderId="0" applyFont="0" applyFill="0" applyBorder="0" applyAlignment="0" applyProtection="0"/>
    <xf numFmtId="0" fontId="63" fillId="0" borderId="0" applyNumberFormat="0" applyFill="0" applyBorder="0" applyAlignment="0" applyProtection="0"/>
    <xf numFmtId="0" fontId="64" fillId="35" borderId="0" applyNumberFormat="0" applyBorder="0" applyAlignment="0" applyProtection="0"/>
    <xf numFmtId="0" fontId="65" fillId="0" borderId="15" applyNumberFormat="0" applyFill="0" applyAlignment="0" applyProtection="0"/>
    <xf numFmtId="0" fontId="66" fillId="0" borderId="16" applyNumberFormat="0" applyFill="0" applyAlignment="0" applyProtection="0"/>
    <xf numFmtId="0" fontId="67" fillId="0" borderId="17" applyNumberFormat="0" applyFill="0" applyAlignment="0" applyProtection="0"/>
    <xf numFmtId="0" fontId="67" fillId="0" borderId="0" applyNumberFormat="0" applyFill="0" applyBorder="0" applyAlignment="0" applyProtection="0"/>
    <xf numFmtId="0" fontId="68" fillId="36" borderId="13" applyNumberFormat="0" applyAlignment="0" applyProtection="0"/>
    <xf numFmtId="0" fontId="69" fillId="0" borderId="18" applyNumberFormat="0" applyFill="0" applyAlignment="0" applyProtection="0"/>
    <xf numFmtId="0" fontId="70" fillId="37" borderId="0" applyNumberFormat="0" applyBorder="0" applyAlignment="0" applyProtection="0"/>
    <xf numFmtId="0" fontId="58" fillId="0" borderId="0">
      <alignment vertical="center"/>
    </xf>
    <xf numFmtId="0" fontId="58" fillId="0" borderId="0"/>
    <xf numFmtId="0" fontId="58" fillId="0" borderId="0"/>
    <xf numFmtId="0" fontId="58" fillId="0" borderId="0">
      <alignment vertical="center"/>
    </xf>
    <xf numFmtId="0" fontId="58" fillId="0" borderId="0"/>
    <xf numFmtId="0" fontId="20" fillId="0" borderId="0"/>
    <xf numFmtId="0" fontId="11" fillId="0" borderId="0"/>
    <xf numFmtId="0" fontId="2" fillId="0" borderId="0"/>
    <xf numFmtId="0" fontId="2" fillId="0" borderId="0"/>
    <xf numFmtId="0" fontId="5" fillId="0" borderId="0"/>
    <xf numFmtId="0" fontId="58" fillId="0" borderId="0"/>
    <xf numFmtId="0" fontId="31" fillId="0" borderId="0"/>
    <xf numFmtId="0" fontId="32" fillId="0" borderId="0"/>
    <xf numFmtId="0" fontId="58" fillId="0" borderId="0"/>
    <xf numFmtId="0" fontId="39" fillId="0" borderId="0"/>
    <xf numFmtId="0" fontId="38" fillId="0" borderId="0"/>
    <xf numFmtId="0" fontId="5" fillId="0" borderId="0"/>
    <xf numFmtId="0" fontId="23" fillId="0" borderId="0"/>
    <xf numFmtId="0" fontId="58" fillId="38" borderId="19" applyNumberFormat="0" applyFont="0" applyAlignment="0" applyProtection="0"/>
    <xf numFmtId="0" fontId="71" fillId="33" borderId="20" applyNumberFormat="0" applyAlignment="0" applyProtection="0"/>
    <xf numFmtId="9" fontId="2" fillId="0" borderId="0" applyFont="0" applyFill="0" applyBorder="0" applyAlignment="0" applyProtection="0"/>
    <xf numFmtId="0" fontId="72" fillId="0" borderId="0" applyNumberFormat="0" applyFill="0" applyBorder="0" applyAlignment="0" applyProtection="0"/>
    <xf numFmtId="0" fontId="73" fillId="0" borderId="21" applyNumberFormat="0" applyFill="0" applyAlignment="0" applyProtection="0"/>
    <xf numFmtId="0" fontId="74" fillId="0" borderId="0" applyNumberFormat="0" applyFill="0" applyBorder="0" applyAlignment="0" applyProtection="0"/>
    <xf numFmtId="0" fontId="21" fillId="0" borderId="0">
      <alignment vertical="center"/>
    </xf>
    <xf numFmtId="0" fontId="1" fillId="0" borderId="0">
      <alignment vertical="center"/>
    </xf>
    <xf numFmtId="0" fontId="53" fillId="0" borderId="0"/>
  </cellStyleXfs>
  <cellXfs count="453">
    <xf numFmtId="0" fontId="0" fillId="0" borderId="0" xfId="0"/>
    <xf numFmtId="0" fontId="4" fillId="0" borderId="0" xfId="58" applyFont="1"/>
    <xf numFmtId="0" fontId="12" fillId="0" borderId="0" xfId="58" applyFont="1"/>
    <xf numFmtId="0" fontId="5" fillId="0" borderId="0" xfId="58" applyFont="1"/>
    <xf numFmtId="0" fontId="3" fillId="0" borderId="0" xfId="58" applyFont="1" applyAlignment="1">
      <alignment horizontal="right"/>
    </xf>
    <xf numFmtId="0" fontId="6" fillId="0" borderId="1" xfId="58" applyFont="1" applyBorder="1" applyAlignment="1">
      <alignment horizontal="center" vertical="center"/>
    </xf>
    <xf numFmtId="0" fontId="6" fillId="0" borderId="2" xfId="58" applyFont="1" applyBorder="1" applyAlignment="1">
      <alignment horizontal="center" vertical="center"/>
    </xf>
    <xf numFmtId="0" fontId="12" fillId="0" borderId="0" xfId="58" applyFont="1" applyAlignment="1">
      <alignment horizontal="center" vertical="center"/>
    </xf>
    <xf numFmtId="0" fontId="5" fillId="0" borderId="0" xfId="0" applyFont="1" applyAlignment="1">
      <alignment vertical="center"/>
    </xf>
    <xf numFmtId="0" fontId="6" fillId="0" borderId="3" xfId="58" applyFont="1" applyBorder="1" applyAlignment="1">
      <alignment horizontal="center" vertical="center" wrapText="1"/>
    </xf>
    <xf numFmtId="0" fontId="7" fillId="0" borderId="0" xfId="0" applyFont="1" applyAlignment="1">
      <alignment vertical="center"/>
    </xf>
    <xf numFmtId="0" fontId="29" fillId="0" borderId="0" xfId="0" applyFont="1" applyAlignment="1">
      <alignment horizontal="center" vertical="center"/>
    </xf>
    <xf numFmtId="0" fontId="5" fillId="0" borderId="0" xfId="0" applyFont="1" applyAlignment="1">
      <alignment vertical="center" wrapText="1"/>
    </xf>
    <xf numFmtId="0" fontId="12" fillId="0" borderId="0" xfId="0" applyFont="1" applyAlignment="1">
      <alignment vertical="center"/>
    </xf>
    <xf numFmtId="0" fontId="19" fillId="0" borderId="0" xfId="0" applyFont="1" applyAlignment="1">
      <alignment horizontal="center" vertical="center"/>
    </xf>
    <xf numFmtId="0" fontId="6" fillId="0" borderId="1" xfId="46" applyFont="1" applyBorder="1" applyAlignment="1">
      <alignment horizontal="center" vertical="center" wrapText="1"/>
    </xf>
    <xf numFmtId="164" fontId="6" fillId="0" borderId="1" xfId="30" applyNumberFormat="1" applyFont="1" applyBorder="1" applyAlignment="1">
      <alignment horizontal="center" vertical="center" wrapText="1"/>
    </xf>
    <xf numFmtId="0" fontId="12" fillId="0" borderId="1" xfId="46" applyFont="1" applyBorder="1" applyAlignment="1">
      <alignment horizontal="center" vertical="center" wrapText="1"/>
    </xf>
    <xf numFmtId="0" fontId="12" fillId="0" borderId="1" xfId="46" applyFont="1" applyBorder="1"/>
    <xf numFmtId="0" fontId="12" fillId="0" borderId="0" xfId="46" quotePrefix="1" applyFont="1" applyAlignment="1">
      <alignment horizontal="center" vertical="center"/>
    </xf>
    <xf numFmtId="2" fontId="12" fillId="0" borderId="0" xfId="46" applyNumberFormat="1" applyFont="1" applyAlignment="1">
      <alignment horizontal="left" vertical="center" wrapText="1"/>
    </xf>
    <xf numFmtId="0" fontId="19" fillId="0" borderId="0" xfId="46" applyFont="1" applyAlignment="1">
      <alignment horizontal="center" vertical="distributed" wrapText="1"/>
    </xf>
    <xf numFmtId="0" fontId="12" fillId="0" borderId="0" xfId="46" applyFont="1" applyAlignment="1">
      <alignment horizontal="center" vertical="center"/>
    </xf>
    <xf numFmtId="168" fontId="12" fillId="0" borderId="0" xfId="30" applyNumberFormat="1" applyFont="1" applyBorder="1" applyAlignment="1">
      <alignment horizontal="center" vertical="center"/>
    </xf>
    <xf numFmtId="164" fontId="12" fillId="0" borderId="0" xfId="28" applyFont="1" applyBorder="1" applyAlignment="1">
      <alignment horizontal="center" vertical="center"/>
    </xf>
    <xf numFmtId="2" fontId="12" fillId="0" borderId="0" xfId="46" applyNumberFormat="1" applyFont="1" applyAlignment="1">
      <alignment horizontal="center" vertical="center"/>
    </xf>
    <xf numFmtId="4" fontId="19" fillId="0" borderId="0" xfId="46" applyNumberFormat="1" applyFont="1" applyAlignment="1">
      <alignment horizontal="center" vertical="center" wrapText="1"/>
    </xf>
    <xf numFmtId="0" fontId="12" fillId="0" borderId="0" xfId="46" applyFont="1"/>
    <xf numFmtId="164" fontId="12" fillId="0" borderId="0" xfId="30" applyNumberFormat="1" applyFont="1"/>
    <xf numFmtId="0" fontId="10" fillId="0" borderId="0" xfId="57" applyFont="1" applyAlignment="1">
      <alignment vertical="center"/>
    </xf>
    <xf numFmtId="0" fontId="4" fillId="0" borderId="0" xfId="57" applyFont="1" applyAlignment="1">
      <alignment vertical="center"/>
    </xf>
    <xf numFmtId="0" fontId="3" fillId="0" borderId="0" xfId="57" applyFont="1" applyAlignment="1">
      <alignment vertical="center"/>
    </xf>
    <xf numFmtId="0" fontId="3" fillId="0" borderId="0" xfId="57" applyFont="1" applyAlignment="1">
      <alignment horizontal="right" vertical="center"/>
    </xf>
    <xf numFmtId="0" fontId="36" fillId="0" borderId="0" xfId="0" applyFont="1" applyAlignment="1">
      <alignment vertical="center"/>
    </xf>
    <xf numFmtId="0" fontId="36" fillId="0" borderId="0" xfId="0" applyFont="1" applyAlignment="1">
      <alignment vertical="center" wrapText="1"/>
    </xf>
    <xf numFmtId="0" fontId="35" fillId="0" borderId="0" xfId="0" applyFont="1" applyAlignment="1">
      <alignment vertical="center"/>
    </xf>
    <xf numFmtId="0" fontId="12" fillId="0" borderId="0" xfId="0" applyFont="1" applyAlignment="1">
      <alignment horizontal="left" vertical="center"/>
    </xf>
    <xf numFmtId="0" fontId="12" fillId="0" borderId="0" xfId="0" applyFont="1" applyAlignment="1">
      <alignment horizontal="center" vertical="center"/>
    </xf>
    <xf numFmtId="0" fontId="5" fillId="0" borderId="3" xfId="47" applyFont="1" applyBorder="1" applyAlignment="1">
      <alignment horizontal="center" vertical="center"/>
    </xf>
    <xf numFmtId="164" fontId="4" fillId="2" borderId="0" xfId="28" applyFont="1" applyFill="1"/>
    <xf numFmtId="0" fontId="34" fillId="3" borderId="0" xfId="56" applyFont="1" applyFill="1" applyAlignment="1" applyProtection="1">
      <alignment horizontal="center"/>
      <protection hidden="1"/>
    </xf>
    <xf numFmtId="0" fontId="6" fillId="4" borderId="0" xfId="56" applyFont="1" applyFill="1" applyAlignment="1" applyProtection="1">
      <alignment horizontal="center"/>
      <protection hidden="1"/>
    </xf>
    <xf numFmtId="0" fontId="6" fillId="5" borderId="0" xfId="56" applyFont="1" applyFill="1" applyAlignment="1" applyProtection="1">
      <alignment horizontal="center"/>
      <protection hidden="1"/>
    </xf>
    <xf numFmtId="0" fontId="6" fillId="6" borderId="0" xfId="56" applyFont="1" applyFill="1" applyAlignment="1" applyProtection="1">
      <alignment horizontal="center"/>
      <protection hidden="1"/>
    </xf>
    <xf numFmtId="0" fontId="6" fillId="7" borderId="0" xfId="56" applyFont="1" applyFill="1" applyAlignment="1" applyProtection="1">
      <alignment horizontal="center"/>
      <protection hidden="1"/>
    </xf>
    <xf numFmtId="0" fontId="4" fillId="2" borderId="0" xfId="49" applyFont="1" applyFill="1"/>
    <xf numFmtId="0" fontId="12" fillId="3" borderId="0" xfId="56" applyFont="1" applyFill="1" applyProtection="1">
      <protection hidden="1"/>
    </xf>
    <xf numFmtId="0" fontId="37" fillId="4" borderId="0" xfId="56" applyFont="1" applyFill="1" applyProtection="1">
      <protection hidden="1"/>
    </xf>
    <xf numFmtId="0" fontId="37" fillId="5" borderId="0" xfId="56" applyFont="1" applyFill="1" applyProtection="1">
      <protection hidden="1"/>
    </xf>
    <xf numFmtId="0" fontId="37" fillId="6" borderId="0" xfId="56" applyFont="1" applyFill="1" applyProtection="1">
      <protection hidden="1"/>
    </xf>
    <xf numFmtId="0" fontId="37" fillId="7" borderId="0" xfId="56" applyFont="1" applyFill="1" applyProtection="1">
      <protection hidden="1"/>
    </xf>
    <xf numFmtId="0" fontId="6" fillId="2" borderId="0" xfId="49" applyFont="1" applyFill="1"/>
    <xf numFmtId="0" fontId="37" fillId="4" borderId="0" xfId="55" applyFont="1" applyFill="1" applyAlignment="1" applyProtection="1">
      <alignment horizontal="center"/>
      <protection hidden="1"/>
    </xf>
    <xf numFmtId="0" fontId="37" fillId="5" borderId="0" xfId="55" applyFont="1" applyFill="1" applyAlignment="1" applyProtection="1">
      <alignment horizontal="center"/>
      <protection hidden="1"/>
    </xf>
    <xf numFmtId="0" fontId="37" fillId="6" borderId="0" xfId="55" applyFont="1" applyFill="1" applyAlignment="1" applyProtection="1">
      <alignment horizontal="center"/>
      <protection hidden="1"/>
    </xf>
    <xf numFmtId="0" fontId="37" fillId="7" borderId="0" xfId="55" applyFont="1" applyFill="1" applyAlignment="1" applyProtection="1">
      <alignment horizontal="center"/>
      <protection hidden="1"/>
    </xf>
    <xf numFmtId="0" fontId="37" fillId="4" borderId="0" xfId="56" applyFont="1" applyFill="1" applyAlignment="1" applyProtection="1">
      <alignment horizontal="center"/>
      <protection hidden="1"/>
    </xf>
    <xf numFmtId="0" fontId="37" fillId="5" borderId="0" xfId="56" applyFont="1" applyFill="1" applyAlignment="1" applyProtection="1">
      <alignment horizontal="center"/>
      <protection hidden="1"/>
    </xf>
    <xf numFmtId="0" fontId="37" fillId="6" borderId="0" xfId="56" applyFont="1" applyFill="1" applyAlignment="1" applyProtection="1">
      <alignment horizontal="center"/>
      <protection hidden="1"/>
    </xf>
    <xf numFmtId="0" fontId="37" fillId="7" borderId="0" xfId="56" applyFont="1" applyFill="1" applyAlignment="1" applyProtection="1">
      <alignment horizontal="center"/>
      <protection hidden="1"/>
    </xf>
    <xf numFmtId="0" fontId="40" fillId="0" borderId="0" xfId="0" applyFont="1" applyAlignment="1">
      <alignment vertical="center"/>
    </xf>
    <xf numFmtId="0" fontId="12" fillId="0" borderId="0" xfId="56" applyFont="1" applyProtection="1">
      <protection hidden="1"/>
    </xf>
    <xf numFmtId="43" fontId="4" fillId="2" borderId="0" xfId="49" applyNumberFormat="1" applyFont="1" applyFill="1"/>
    <xf numFmtId="164" fontId="0" fillId="0" borderId="0" xfId="0" applyNumberFormat="1"/>
    <xf numFmtId="0" fontId="27" fillId="0" borderId="0" xfId="0" applyFont="1" applyAlignment="1">
      <alignment vertical="center"/>
    </xf>
    <xf numFmtId="0" fontId="28" fillId="0" borderId="0" xfId="0" applyFont="1" applyAlignment="1">
      <alignment vertical="center"/>
    </xf>
    <xf numFmtId="0" fontId="12" fillId="2" borderId="0" xfId="58" applyFont="1" applyFill="1"/>
    <xf numFmtId="164" fontId="12" fillId="0" borderId="3" xfId="28" applyFont="1" applyFill="1" applyBorder="1" applyAlignment="1">
      <alignment horizontal="center" vertical="center"/>
    </xf>
    <xf numFmtId="0" fontId="43" fillId="0" borderId="0" xfId="0" applyFont="1" applyAlignment="1">
      <alignment vertical="center"/>
    </xf>
    <xf numFmtId="0" fontId="43" fillId="39" borderId="0" xfId="0" applyFont="1" applyFill="1" applyAlignment="1">
      <alignment vertical="center"/>
    </xf>
    <xf numFmtId="0" fontId="47" fillId="0" borderId="0" xfId="0" applyFont="1" applyAlignment="1">
      <alignment vertical="center"/>
    </xf>
    <xf numFmtId="0" fontId="49" fillId="0" borderId="0" xfId="0" applyFont="1" applyAlignment="1">
      <alignment vertical="center"/>
    </xf>
    <xf numFmtId="14" fontId="6" fillId="0" borderId="0" xfId="0" applyNumberFormat="1" applyFont="1" applyAlignment="1">
      <alignment horizontal="left" vertical="center"/>
    </xf>
    <xf numFmtId="0" fontId="6" fillId="0" borderId="0" xfId="0" applyFont="1" applyAlignment="1">
      <alignment horizontal="left" vertical="center"/>
    </xf>
    <xf numFmtId="14" fontId="12" fillId="0" borderId="0" xfId="0" applyNumberFormat="1" applyFont="1" applyAlignment="1">
      <alignment vertical="center"/>
    </xf>
    <xf numFmtId="164" fontId="12" fillId="0" borderId="0" xfId="0" applyNumberFormat="1" applyFont="1" applyAlignment="1">
      <alignment vertical="center"/>
    </xf>
    <xf numFmtId="43" fontId="19" fillId="0" borderId="0" xfId="0" applyNumberFormat="1" applyFont="1" applyAlignment="1">
      <alignment horizontal="center" vertical="center"/>
    </xf>
    <xf numFmtId="0" fontId="5" fillId="39" borderId="0" xfId="0" applyFont="1" applyFill="1" applyAlignment="1">
      <alignment vertical="center"/>
    </xf>
    <xf numFmtId="0" fontId="12" fillId="39" borderId="0" xfId="0" applyFont="1" applyFill="1" applyAlignment="1">
      <alignment vertical="center"/>
    </xf>
    <xf numFmtId="43" fontId="12" fillId="0" borderId="0" xfId="0" applyNumberFormat="1" applyFont="1" applyAlignment="1">
      <alignment vertical="center"/>
    </xf>
    <xf numFmtId="43" fontId="5" fillId="0" borderId="0" xfId="0" applyNumberFormat="1" applyFont="1" applyAlignment="1">
      <alignment vertical="center"/>
    </xf>
    <xf numFmtId="0" fontId="43" fillId="39" borderId="0" xfId="0" quotePrefix="1" applyFont="1" applyFill="1" applyAlignment="1">
      <alignment horizontal="center" vertical="center"/>
    </xf>
    <xf numFmtId="4" fontId="43" fillId="39" borderId="0" xfId="0" applyNumberFormat="1" applyFont="1" applyFill="1" applyAlignment="1">
      <alignment vertical="center"/>
    </xf>
    <xf numFmtId="1" fontId="43" fillId="39" borderId="0" xfId="0" applyNumberFormat="1" applyFont="1" applyFill="1" applyAlignment="1">
      <alignment horizontal="center" vertical="center"/>
    </xf>
    <xf numFmtId="4" fontId="46" fillId="39" borderId="0" xfId="0" applyNumberFormat="1" applyFont="1" applyFill="1" applyAlignment="1">
      <alignment horizontal="center" vertical="center"/>
    </xf>
    <xf numFmtId="3" fontId="46" fillId="39" borderId="0" xfId="28" applyNumberFormat="1" applyFont="1" applyFill="1" applyAlignment="1">
      <alignment horizontal="center" vertical="center"/>
    </xf>
    <xf numFmtId="169" fontId="43" fillId="39" borderId="0" xfId="28" applyNumberFormat="1" applyFont="1" applyFill="1" applyAlignment="1">
      <alignment horizontal="center" vertical="center"/>
    </xf>
    <xf numFmtId="3" fontId="43" fillId="39" borderId="0" xfId="0" applyNumberFormat="1" applyFont="1" applyFill="1" applyAlignment="1">
      <alignment vertical="center"/>
    </xf>
    <xf numFmtId="169" fontId="43" fillId="39" borderId="0" xfId="0" applyNumberFormat="1" applyFont="1" applyFill="1" applyAlignment="1">
      <alignment vertical="center"/>
    </xf>
    <xf numFmtId="169" fontId="46" fillId="39" borderId="0" xfId="28" applyNumberFormat="1" applyFont="1" applyFill="1" applyAlignment="1">
      <alignment horizontal="center" vertical="center"/>
    </xf>
    <xf numFmtId="0" fontId="44" fillId="39" borderId="0" xfId="0" applyFont="1" applyFill="1" applyAlignment="1">
      <alignment vertical="center"/>
    </xf>
    <xf numFmtId="169" fontId="43" fillId="39" borderId="4" xfId="28" applyNumberFormat="1" applyFont="1" applyFill="1" applyBorder="1" applyAlignment="1">
      <alignment horizontal="center" vertical="center"/>
    </xf>
    <xf numFmtId="169" fontId="44" fillId="39" borderId="0" xfId="0" applyNumberFormat="1" applyFont="1" applyFill="1" applyAlignment="1">
      <alignment vertical="center"/>
    </xf>
    <xf numFmtId="168" fontId="44" fillId="39" borderId="0" xfId="0" applyNumberFormat="1" applyFont="1" applyFill="1" applyAlignment="1">
      <alignment vertical="center"/>
    </xf>
    <xf numFmtId="4" fontId="43" fillId="39" borderId="0" xfId="0" applyNumberFormat="1" applyFont="1" applyFill="1" applyAlignment="1">
      <alignment horizontal="left" vertical="center"/>
    </xf>
    <xf numFmtId="4" fontId="5" fillId="39" borderId="0" xfId="0" applyNumberFormat="1" applyFont="1" applyFill="1" applyAlignment="1">
      <alignment vertical="center"/>
    </xf>
    <xf numFmtId="1" fontId="5" fillId="39" borderId="0" xfId="0" applyNumberFormat="1" applyFont="1" applyFill="1" applyAlignment="1">
      <alignment horizontal="center" vertical="center"/>
    </xf>
    <xf numFmtId="0" fontId="30" fillId="39" borderId="0" xfId="0" applyFont="1" applyFill="1" applyAlignment="1">
      <alignment vertical="center"/>
    </xf>
    <xf numFmtId="0" fontId="7" fillId="39" borderId="0" xfId="0" applyFont="1" applyFill="1" applyAlignment="1">
      <alignment horizontal="center" vertical="center"/>
    </xf>
    <xf numFmtId="0" fontId="51" fillId="0" borderId="0" xfId="0" applyFont="1" applyAlignment="1">
      <alignment vertical="center"/>
    </xf>
    <xf numFmtId="0" fontId="5" fillId="39" borderId="0" xfId="0" applyFont="1" applyFill="1" applyAlignment="1">
      <alignment vertical="center" wrapText="1"/>
    </xf>
    <xf numFmtId="0" fontId="7" fillId="2" borderId="0" xfId="0" quotePrefix="1" applyFont="1" applyFill="1" applyAlignment="1">
      <alignment horizontal="center" vertical="center"/>
    </xf>
    <xf numFmtId="0" fontId="7" fillId="2" borderId="0" xfId="0" applyFont="1" applyFill="1" applyAlignment="1">
      <alignment horizontal="left" vertical="center" wrapText="1"/>
    </xf>
    <xf numFmtId="0" fontId="7" fillId="2" borderId="0" xfId="0" applyFont="1" applyFill="1" applyAlignment="1">
      <alignment horizontal="center" vertical="center"/>
    </xf>
    <xf numFmtId="3" fontId="7" fillId="2" borderId="0" xfId="0" applyNumberFormat="1" applyFont="1" applyFill="1" applyAlignment="1">
      <alignment horizontal="center" vertical="center"/>
    </xf>
    <xf numFmtId="164" fontId="29" fillId="2" borderId="0" xfId="0" applyNumberFormat="1" applyFont="1" applyFill="1" applyAlignment="1">
      <alignment vertical="center"/>
    </xf>
    <xf numFmtId="0" fontId="8" fillId="0" borderId="0" xfId="0" applyFont="1" applyAlignment="1">
      <alignment vertical="center" wrapText="1"/>
    </xf>
    <xf numFmtId="0" fontId="4" fillId="39" borderId="3" xfId="0" quotePrefix="1" applyFont="1" applyFill="1" applyBorder="1" applyAlignment="1">
      <alignment horizontal="center" vertical="center"/>
    </xf>
    <xf numFmtId="0" fontId="4" fillId="39" borderId="0" xfId="0" applyFont="1" applyFill="1" applyAlignment="1">
      <alignment vertical="center"/>
    </xf>
    <xf numFmtId="169" fontId="3" fillId="39" borderId="5" xfId="28" applyNumberFormat="1" applyFont="1" applyFill="1" applyBorder="1" applyAlignment="1">
      <alignment vertical="center"/>
    </xf>
    <xf numFmtId="1" fontId="3" fillId="39" borderId="5" xfId="28" applyNumberFormat="1" applyFont="1" applyFill="1" applyBorder="1" applyAlignment="1">
      <alignment horizontal="center" vertical="center"/>
    </xf>
    <xf numFmtId="3" fontId="3" fillId="39" borderId="5" xfId="28" applyNumberFormat="1" applyFont="1" applyFill="1" applyBorder="1" applyAlignment="1">
      <alignment vertical="center"/>
    </xf>
    <xf numFmtId="169" fontId="3" fillId="39" borderId="0" xfId="28" applyNumberFormat="1" applyFont="1" applyFill="1" applyAlignment="1">
      <alignment vertical="center"/>
    </xf>
    <xf numFmtId="1" fontId="4" fillId="39" borderId="0" xfId="0" applyNumberFormat="1" applyFont="1" applyFill="1" applyAlignment="1">
      <alignment horizontal="center" vertical="center"/>
    </xf>
    <xf numFmtId="0" fontId="5" fillId="0" borderId="0" xfId="0" applyFont="1" applyAlignment="1">
      <alignment horizontal="left" vertical="center"/>
    </xf>
    <xf numFmtId="0" fontId="5" fillId="0" borderId="0" xfId="0" applyFont="1" applyAlignment="1">
      <alignment horizontal="center" vertical="center"/>
    </xf>
    <xf numFmtId="0" fontId="7" fillId="0" borderId="0" xfId="0" applyFont="1" applyAlignment="1">
      <alignment horizontal="right" vertical="center"/>
    </xf>
    <xf numFmtId="14" fontId="7" fillId="0" borderId="0" xfId="0" applyNumberFormat="1" applyFont="1" applyAlignment="1">
      <alignment vertical="center"/>
    </xf>
    <xf numFmtId="1" fontId="75" fillId="40" borderId="0" xfId="0" applyNumberFormat="1" applyFont="1" applyFill="1" applyAlignment="1">
      <alignment horizontal="center" vertical="center"/>
    </xf>
    <xf numFmtId="0" fontId="75" fillId="40" borderId="0" xfId="0" applyFont="1" applyFill="1" applyAlignment="1">
      <alignment horizontal="center" vertical="center"/>
    </xf>
    <xf numFmtId="14" fontId="75" fillId="40" borderId="0" xfId="0" applyNumberFormat="1" applyFont="1" applyFill="1" applyAlignment="1">
      <alignment horizontal="center" vertical="center"/>
    </xf>
    <xf numFmtId="0" fontId="2" fillId="0" borderId="3" xfId="0" applyFont="1" applyBorder="1" applyAlignment="1">
      <alignment horizontal="center" vertical="center"/>
    </xf>
    <xf numFmtId="164" fontId="2" fillId="0" borderId="3" xfId="28" applyFont="1" applyBorder="1" applyAlignment="1">
      <alignment horizontal="center" vertical="center"/>
    </xf>
    <xf numFmtId="0" fontId="43" fillId="39" borderId="0" xfId="0" applyFont="1" applyFill="1" applyAlignment="1">
      <alignment vertical="center" wrapText="1"/>
    </xf>
    <xf numFmtId="0" fontId="45" fillId="39" borderId="0" xfId="0" applyFont="1" applyFill="1" applyAlignment="1">
      <alignment vertical="center" wrapText="1"/>
    </xf>
    <xf numFmtId="0" fontId="43" fillId="39" borderId="0" xfId="0" quotePrefix="1" applyFont="1" applyFill="1" applyAlignment="1">
      <alignment vertical="center" wrapText="1"/>
    </xf>
    <xf numFmtId="0" fontId="7" fillId="0" borderId="0" xfId="58" applyFont="1"/>
    <xf numFmtId="0" fontId="50" fillId="0" borderId="3" xfId="0" applyFont="1" applyBorder="1" applyAlignment="1">
      <alignment horizontal="center" vertical="center"/>
    </xf>
    <xf numFmtId="164" fontId="50" fillId="0" borderId="3" xfId="28" applyFont="1" applyBorder="1" applyAlignment="1">
      <alignment horizontal="center" vertical="center"/>
    </xf>
    <xf numFmtId="164" fontId="3" fillId="39" borderId="5" xfId="28" applyFont="1" applyFill="1" applyBorder="1" applyAlignment="1">
      <alignment vertical="center"/>
    </xf>
    <xf numFmtId="164" fontId="3" fillId="39" borderId="3" xfId="28" applyFont="1" applyFill="1" applyBorder="1" applyAlignment="1" applyProtection="1">
      <alignment horizontal="right" vertical="center"/>
    </xf>
    <xf numFmtId="0" fontId="2" fillId="0" borderId="1" xfId="0" applyFont="1" applyBorder="1" applyAlignment="1">
      <alignment horizontal="center" vertical="center"/>
    </xf>
    <xf numFmtId="0" fontId="0" fillId="0" borderId="0" xfId="0" applyAlignment="1">
      <alignment horizontal="center"/>
    </xf>
    <xf numFmtId="0" fontId="25" fillId="0" borderId="0" xfId="58" applyFont="1" applyAlignment="1">
      <alignment horizontal="center" vertical="center"/>
    </xf>
    <xf numFmtId="0" fontId="5" fillId="0" borderId="0" xfId="58" applyFont="1" applyAlignment="1">
      <alignment horizontal="center"/>
    </xf>
    <xf numFmtId="0" fontId="12" fillId="0" borderId="0" xfId="58" applyFont="1" applyAlignment="1">
      <alignment horizontal="center"/>
    </xf>
    <xf numFmtId="0" fontId="4" fillId="0" borderId="0" xfId="57" applyFont="1" applyAlignment="1">
      <alignment horizontal="center" vertical="center"/>
    </xf>
    <xf numFmtId="0" fontId="3" fillId="0" borderId="0" xfId="58" applyFont="1" applyAlignment="1">
      <alignment horizontal="center"/>
    </xf>
    <xf numFmtId="164" fontId="76" fillId="41" borderId="0" xfId="0" applyNumberFormat="1" applyFont="1" applyFill="1" applyAlignment="1">
      <alignment horizontal="right" vertical="center"/>
    </xf>
    <xf numFmtId="0" fontId="5" fillId="39" borderId="0" xfId="0" applyFont="1" applyFill="1" applyAlignment="1">
      <alignment horizontal="right" vertical="center"/>
    </xf>
    <xf numFmtId="169" fontId="12" fillId="39" borderId="0" xfId="0" applyNumberFormat="1" applyFont="1" applyFill="1" applyAlignment="1">
      <alignment vertical="center"/>
    </xf>
    <xf numFmtId="0" fontId="2" fillId="39" borderId="3" xfId="0" applyFont="1" applyFill="1" applyBorder="1" applyAlignment="1">
      <alignment horizontal="left" vertical="center" wrapText="1"/>
    </xf>
    <xf numFmtId="3" fontId="12" fillId="0" borderId="1" xfId="28" applyNumberFormat="1" applyFont="1" applyFill="1" applyBorder="1" applyAlignment="1">
      <alignment horizontal="center" vertical="center"/>
    </xf>
    <xf numFmtId="0" fontId="6" fillId="2" borderId="3" xfId="0" quotePrefix="1" applyFont="1" applyFill="1" applyBorder="1" applyAlignment="1">
      <alignment horizontal="center" vertical="center"/>
    </xf>
    <xf numFmtId="0" fontId="6" fillId="2" borderId="3" xfId="0" applyFont="1" applyFill="1" applyBorder="1" applyAlignment="1">
      <alignment horizontal="left" vertical="center" wrapText="1"/>
    </xf>
    <xf numFmtId="0" fontId="6" fillId="2" borderId="3" xfId="0" applyFont="1" applyFill="1" applyBorder="1" applyAlignment="1">
      <alignment horizontal="center" vertical="center"/>
    </xf>
    <xf numFmtId="3" fontId="6" fillId="2" borderId="3" xfId="0" applyNumberFormat="1" applyFont="1" applyFill="1" applyBorder="1" applyAlignment="1">
      <alignment horizontal="center" vertical="center"/>
    </xf>
    <xf numFmtId="0" fontId="6" fillId="0" borderId="0" xfId="0" applyFont="1" applyAlignment="1">
      <alignment vertical="center"/>
    </xf>
    <xf numFmtId="0" fontId="4" fillId="0" borderId="0" xfId="0" applyFont="1" applyAlignment="1">
      <alignment vertical="center"/>
    </xf>
    <xf numFmtId="0" fontId="54" fillId="0" borderId="0" xfId="0" applyFont="1" applyAlignment="1">
      <alignment vertical="center"/>
    </xf>
    <xf numFmtId="0" fontId="4" fillId="0" borderId="0" xfId="0" applyFont="1" applyAlignment="1">
      <alignment horizontal="left" vertical="center"/>
    </xf>
    <xf numFmtId="0" fontId="10" fillId="0" borderId="0" xfId="58" applyFont="1" applyAlignment="1">
      <alignment vertical="center"/>
    </xf>
    <xf numFmtId="3" fontId="5" fillId="0" borderId="0" xfId="58" applyNumberFormat="1" applyFont="1"/>
    <xf numFmtId="3" fontId="12" fillId="0" borderId="0" xfId="58" applyNumberFormat="1" applyFont="1"/>
    <xf numFmtId="3" fontId="4" fillId="39" borderId="6" xfId="0" quotePrefix="1" applyNumberFormat="1" applyFont="1" applyFill="1" applyBorder="1" applyAlignment="1">
      <alignment horizontal="left" vertical="center" wrapText="1"/>
    </xf>
    <xf numFmtId="49" fontId="77" fillId="0" borderId="3" xfId="0" applyNumberFormat="1" applyFont="1" applyBorder="1" applyAlignment="1">
      <alignment horizontal="center" vertical="center"/>
    </xf>
    <xf numFmtId="3" fontId="77" fillId="0" borderId="3" xfId="0" applyNumberFormat="1" applyFont="1" applyBorder="1" applyAlignment="1">
      <alignment horizontal="center" vertical="center"/>
    </xf>
    <xf numFmtId="49" fontId="78" fillId="0" borderId="0" xfId="0" applyNumberFormat="1" applyFont="1"/>
    <xf numFmtId="3" fontId="5" fillId="39" borderId="3" xfId="31" applyNumberFormat="1" applyFont="1" applyFill="1" applyBorder="1" applyAlignment="1">
      <alignment horizontal="center" vertical="center"/>
    </xf>
    <xf numFmtId="49" fontId="79" fillId="0" borderId="0" xfId="0" applyNumberFormat="1" applyFont="1"/>
    <xf numFmtId="49" fontId="79" fillId="0" borderId="0" xfId="0" applyNumberFormat="1" applyFont="1" applyAlignment="1">
      <alignment horizontal="center"/>
    </xf>
    <xf numFmtId="3" fontId="79" fillId="0" borderId="0" xfId="0" applyNumberFormat="1" applyFont="1"/>
    <xf numFmtId="0" fontId="80" fillId="0" borderId="3" xfId="0" applyFont="1" applyBorder="1" applyAlignment="1">
      <alignment horizontal="center" wrapText="1"/>
    </xf>
    <xf numFmtId="0" fontId="79" fillId="0" borderId="0" xfId="0" applyFont="1"/>
    <xf numFmtId="0" fontId="79" fillId="0" borderId="3" xfId="0" applyFont="1" applyBorder="1" applyAlignment="1">
      <alignment horizontal="left"/>
    </xf>
    <xf numFmtId="0" fontId="81" fillId="0" borderId="3" xfId="0" applyFont="1" applyBorder="1" applyAlignment="1">
      <alignment horizontal="left"/>
    </xf>
    <xf numFmtId="0" fontId="79" fillId="0" borderId="3" xfId="0" applyFont="1" applyBorder="1" applyAlignment="1">
      <alignment horizontal="left" vertical="center"/>
    </xf>
    <xf numFmtId="0" fontId="79" fillId="0" borderId="3" xfId="0" applyFont="1" applyBorder="1" applyAlignment="1">
      <alignment vertical="center"/>
    </xf>
    <xf numFmtId="0" fontId="79" fillId="0" borderId="3" xfId="0" applyFont="1" applyBorder="1" applyAlignment="1">
      <alignment horizontal="left" vertical="center" wrapText="1"/>
    </xf>
    <xf numFmtId="0" fontId="78" fillId="0" borderId="0" xfId="0" applyFont="1"/>
    <xf numFmtId="0" fontId="46" fillId="0" borderId="3" xfId="0" applyFont="1" applyBorder="1" applyAlignment="1">
      <alignment horizontal="center" vertical="center"/>
    </xf>
    <xf numFmtId="0" fontId="46" fillId="0" borderId="3" xfId="0" applyFont="1" applyBorder="1" applyAlignment="1">
      <alignment horizontal="center" vertical="center" wrapText="1"/>
    </xf>
    <xf numFmtId="4" fontId="46" fillId="0" borderId="3" xfId="0" applyNumberFormat="1" applyFont="1" applyBorder="1" applyAlignment="1">
      <alignment horizontal="center" vertical="center" wrapText="1"/>
    </xf>
    <xf numFmtId="0" fontId="43" fillId="0" borderId="3" xfId="0" quotePrefix="1" applyFont="1" applyBorder="1" applyAlignment="1">
      <alignment horizontal="center" vertical="center"/>
    </xf>
    <xf numFmtId="0" fontId="43" fillId="0" borderId="3" xfId="0" applyFont="1" applyBorder="1" applyAlignment="1">
      <alignment vertical="center" wrapText="1"/>
    </xf>
    <xf numFmtId="0" fontId="43" fillId="0" borderId="3" xfId="0" applyFont="1" applyBorder="1" applyAlignment="1">
      <alignment horizontal="center" vertical="center" wrapText="1"/>
    </xf>
    <xf numFmtId="0" fontId="46" fillId="0" borderId="3" xfId="0" applyFont="1" applyBorder="1" applyAlignment="1">
      <alignment vertical="center"/>
    </xf>
    <xf numFmtId="164" fontId="46" fillId="0" borderId="3" xfId="28" applyFont="1" applyBorder="1" applyAlignment="1">
      <alignment vertical="center"/>
    </xf>
    <xf numFmtId="0" fontId="43" fillId="0" borderId="3" xfId="0" applyFont="1" applyBorder="1" applyAlignment="1">
      <alignment horizontal="left" vertical="center" wrapText="1"/>
    </xf>
    <xf numFmtId="0" fontId="43" fillId="0" borderId="3" xfId="0" applyFont="1" applyBorder="1" applyAlignment="1">
      <alignment horizontal="center" vertical="center"/>
    </xf>
    <xf numFmtId="164" fontId="43" fillId="0" borderId="3" xfId="28" applyFont="1" applyFill="1" applyBorder="1" applyAlignment="1">
      <alignment horizontal="center" vertical="center"/>
    </xf>
    <xf numFmtId="166" fontId="7" fillId="39" borderId="0" xfId="0" applyNumberFormat="1" applyFont="1" applyFill="1" applyAlignment="1">
      <alignment horizontal="center" vertical="center" wrapText="1"/>
    </xf>
    <xf numFmtId="0" fontId="3" fillId="39" borderId="1" xfId="0" applyFont="1" applyFill="1" applyBorder="1" applyAlignment="1">
      <alignment horizontal="center" vertical="center" wrapText="1"/>
    </xf>
    <xf numFmtId="2" fontId="3" fillId="39" borderId="5" xfId="28" applyNumberFormat="1" applyFont="1" applyFill="1" applyBorder="1" applyAlignment="1">
      <alignment vertical="center"/>
    </xf>
    <xf numFmtId="2" fontId="4" fillId="39" borderId="0" xfId="0" applyNumberFormat="1" applyFont="1" applyFill="1" applyAlignment="1">
      <alignment vertical="center"/>
    </xf>
    <xf numFmtId="2" fontId="43" fillId="39" borderId="0" xfId="0" applyNumberFormat="1" applyFont="1" applyFill="1" applyAlignment="1">
      <alignment vertical="center"/>
    </xf>
    <xf numFmtId="2" fontId="5" fillId="39" borderId="0" xfId="0" applyNumberFormat="1" applyFont="1" applyFill="1" applyAlignment="1">
      <alignment vertical="center"/>
    </xf>
    <xf numFmtId="3" fontId="4" fillId="39" borderId="0" xfId="0" applyNumberFormat="1" applyFont="1" applyFill="1" applyAlignment="1">
      <alignment horizontal="center" vertical="center"/>
    </xf>
    <xf numFmtId="3" fontId="43" fillId="39" borderId="0" xfId="0" applyNumberFormat="1" applyFont="1" applyFill="1" applyAlignment="1">
      <alignment horizontal="center" vertical="center"/>
    </xf>
    <xf numFmtId="3" fontId="5" fillId="39" borderId="0" xfId="0" applyNumberFormat="1" applyFont="1" applyFill="1" applyAlignment="1">
      <alignment horizontal="center" vertical="center"/>
    </xf>
    <xf numFmtId="10" fontId="3" fillId="39" borderId="3" xfId="28" applyNumberFormat="1" applyFont="1" applyFill="1" applyBorder="1" applyAlignment="1">
      <alignment vertical="center"/>
    </xf>
    <xf numFmtId="10" fontId="4" fillId="39" borderId="0" xfId="0" applyNumberFormat="1" applyFont="1" applyFill="1" applyAlignment="1">
      <alignment vertical="center"/>
    </xf>
    <xf numFmtId="10" fontId="43" fillId="39" borderId="0" xfId="0" applyNumberFormat="1" applyFont="1" applyFill="1" applyAlignment="1">
      <alignment vertical="center"/>
    </xf>
    <xf numFmtId="10" fontId="5" fillId="39" borderId="0" xfId="0" applyNumberFormat="1" applyFont="1" applyFill="1" applyAlignment="1">
      <alignment vertical="center"/>
    </xf>
    <xf numFmtId="0" fontId="12" fillId="0" borderId="0" xfId="46" applyFont="1" applyAlignment="1">
      <alignment wrapText="1"/>
    </xf>
    <xf numFmtId="0" fontId="5" fillId="0" borderId="0" xfId="0" applyFont="1" applyAlignment="1">
      <alignment horizontal="left" vertical="center" wrapText="1"/>
    </xf>
    <xf numFmtId="0" fontId="4" fillId="0" borderId="0" xfId="0" applyFont="1" applyAlignment="1">
      <alignment vertical="center" wrapText="1"/>
    </xf>
    <xf numFmtId="0" fontId="46" fillId="0" borderId="3" xfId="0" applyFont="1" applyBorder="1" applyAlignment="1">
      <alignment vertical="center" wrapText="1"/>
    </xf>
    <xf numFmtId="0" fontId="48" fillId="0" borderId="0" xfId="0" applyFont="1" applyAlignment="1">
      <alignment vertical="center" wrapText="1"/>
    </xf>
    <xf numFmtId="4" fontId="5" fillId="0" borderId="0" xfId="0" applyNumberFormat="1" applyFont="1" applyAlignment="1">
      <alignment vertical="center"/>
    </xf>
    <xf numFmtId="4" fontId="12" fillId="0" borderId="0" xfId="0" applyNumberFormat="1" applyFont="1" applyAlignment="1">
      <alignment vertical="center"/>
    </xf>
    <xf numFmtId="4" fontId="6" fillId="0" borderId="0" xfId="0" applyNumberFormat="1" applyFont="1" applyAlignment="1">
      <alignment vertical="center"/>
    </xf>
    <xf numFmtId="4" fontId="7" fillId="0" borderId="0" xfId="0" applyNumberFormat="1" applyFont="1" applyAlignment="1">
      <alignment vertical="center"/>
    </xf>
    <xf numFmtId="49" fontId="43" fillId="0" borderId="3" xfId="0" applyNumberFormat="1" applyFont="1" applyBorder="1" applyAlignment="1">
      <alignment vertical="center"/>
    </xf>
    <xf numFmtId="0" fontId="82" fillId="40" borderId="0" xfId="0" applyFont="1" applyFill="1" applyAlignment="1">
      <alignment horizontal="right" vertical="center"/>
    </xf>
    <xf numFmtId="49" fontId="43" fillId="0" borderId="0" xfId="0" applyNumberFormat="1" applyFont="1" applyAlignment="1">
      <alignment vertical="center"/>
    </xf>
    <xf numFmtId="9" fontId="12" fillId="0" borderId="0" xfId="46" applyNumberFormat="1" applyFont="1"/>
    <xf numFmtId="4" fontId="43" fillId="39" borderId="0" xfId="0" applyNumberFormat="1" applyFont="1" applyFill="1" applyAlignment="1">
      <alignment horizontal="center" vertical="center"/>
    </xf>
    <xf numFmtId="4" fontId="5" fillId="39" borderId="0" xfId="0" applyNumberFormat="1" applyFont="1" applyFill="1" applyAlignment="1">
      <alignment horizontal="center" vertical="center"/>
    </xf>
    <xf numFmtId="14" fontId="6" fillId="0" borderId="0" xfId="0" applyNumberFormat="1" applyFont="1" applyAlignment="1">
      <alignment horizontal="right" vertical="center" wrapText="1"/>
    </xf>
    <xf numFmtId="0" fontId="12" fillId="0" borderId="0" xfId="0" applyFont="1" applyAlignment="1">
      <alignment horizontal="left" vertical="center" wrapText="1"/>
    </xf>
    <xf numFmtId="0" fontId="5" fillId="39" borderId="0" xfId="0" applyFont="1" applyFill="1" applyAlignment="1">
      <alignment horizontal="center" vertical="center"/>
    </xf>
    <xf numFmtId="170" fontId="7" fillId="39" borderId="0" xfId="0" applyNumberFormat="1" applyFont="1" applyFill="1" applyAlignment="1">
      <alignment horizontal="center" vertical="center"/>
    </xf>
    <xf numFmtId="169" fontId="83" fillId="39" borderId="3" xfId="28" applyNumberFormat="1" applyFont="1" applyFill="1" applyBorder="1" applyAlignment="1">
      <alignment vertical="center"/>
    </xf>
    <xf numFmtId="2" fontId="83" fillId="39" borderId="5" xfId="28" applyNumberFormat="1" applyFont="1" applyFill="1" applyBorder="1" applyAlignment="1">
      <alignment vertical="center"/>
    </xf>
    <xf numFmtId="169" fontId="83" fillId="39" borderId="5" xfId="28" applyNumberFormat="1" applyFont="1" applyFill="1" applyBorder="1" applyAlignment="1">
      <alignment vertical="center"/>
    </xf>
    <xf numFmtId="10" fontId="83" fillId="39" borderId="3" xfId="28" applyNumberFormat="1" applyFont="1" applyFill="1" applyBorder="1" applyAlignment="1">
      <alignment vertical="center"/>
    </xf>
    <xf numFmtId="0" fontId="83" fillId="39" borderId="0" xfId="0" applyFont="1" applyFill="1" applyAlignment="1">
      <alignment vertical="center"/>
    </xf>
    <xf numFmtId="0" fontId="4" fillId="39" borderId="0" xfId="0" quotePrefix="1" applyFont="1" applyFill="1" applyAlignment="1">
      <alignment horizontal="center" vertical="center" wrapText="1"/>
    </xf>
    <xf numFmtId="0" fontId="4" fillId="39" borderId="0" xfId="0" applyFont="1" applyFill="1" applyAlignment="1">
      <alignment vertical="center" wrapText="1"/>
    </xf>
    <xf numFmtId="43" fontId="43" fillId="0" borderId="0" xfId="0" applyNumberFormat="1" applyFont="1" applyAlignment="1">
      <alignment vertical="center"/>
    </xf>
    <xf numFmtId="0" fontId="42" fillId="39" borderId="0" xfId="0" applyFont="1" applyFill="1" applyAlignment="1">
      <alignment horizontal="right" vertical="center"/>
    </xf>
    <xf numFmtId="0" fontId="55" fillId="39" borderId="0" xfId="0" applyFont="1" applyFill="1" applyAlignment="1">
      <alignment horizontal="right" vertical="center" wrapText="1"/>
    </xf>
    <xf numFmtId="4" fontId="42" fillId="39" borderId="0" xfId="0" applyNumberFormat="1" applyFont="1" applyFill="1" applyAlignment="1">
      <alignment horizontal="right" vertical="center"/>
    </xf>
    <xf numFmtId="1" fontId="43" fillId="39" borderId="0" xfId="0" applyNumberFormat="1" applyFont="1" applyFill="1" applyAlignment="1">
      <alignment horizontal="center" vertical="center" wrapText="1"/>
    </xf>
    <xf numFmtId="0" fontId="79" fillId="0" borderId="0" xfId="0" applyFont="1" applyAlignment="1">
      <alignment vertical="center"/>
    </xf>
    <xf numFmtId="0" fontId="79" fillId="39" borderId="0" xfId="0" applyFont="1" applyFill="1" applyAlignment="1">
      <alignment vertical="center"/>
    </xf>
    <xf numFmtId="4" fontId="79" fillId="0" borderId="0" xfId="0" applyNumberFormat="1" applyFont="1" applyAlignment="1">
      <alignment vertical="center"/>
    </xf>
    <xf numFmtId="0" fontId="43" fillId="39" borderId="0" xfId="0" applyFont="1" applyFill="1" applyAlignment="1">
      <alignment horizontal="center" vertical="center"/>
    </xf>
    <xf numFmtId="166" fontId="7" fillId="39" borderId="0" xfId="0" applyNumberFormat="1" applyFont="1" applyFill="1" applyAlignment="1">
      <alignment horizontal="center" vertical="center"/>
    </xf>
    <xf numFmtId="3" fontId="4" fillId="39" borderId="0" xfId="0" applyNumberFormat="1" applyFont="1" applyFill="1" applyAlignment="1">
      <alignment vertical="center"/>
    </xf>
    <xf numFmtId="49" fontId="12" fillId="2" borderId="0" xfId="58" applyNumberFormat="1" applyFont="1" applyFill="1"/>
    <xf numFmtId="0" fontId="7" fillId="39" borderId="0" xfId="0" applyFont="1" applyFill="1" applyAlignment="1">
      <alignment horizontal="right" vertical="center"/>
    </xf>
    <xf numFmtId="14" fontId="7" fillId="39" borderId="0" xfId="0" applyNumberFormat="1" applyFont="1" applyFill="1" applyAlignment="1">
      <alignment horizontal="center" vertical="center"/>
    </xf>
    <xf numFmtId="4" fontId="7" fillId="39" borderId="0" xfId="0" applyNumberFormat="1" applyFont="1" applyFill="1" applyAlignment="1">
      <alignment horizontal="center" vertical="center"/>
    </xf>
    <xf numFmtId="4" fontId="42" fillId="39" borderId="0" xfId="0" applyNumberFormat="1" applyFont="1" applyFill="1" applyAlignment="1">
      <alignment horizontal="center" vertical="center"/>
    </xf>
    <xf numFmtId="164" fontId="43" fillId="39" borderId="0" xfId="28" applyFont="1" applyFill="1" applyAlignment="1">
      <alignment horizontal="center" vertical="center" wrapText="1"/>
    </xf>
    <xf numFmtId="164" fontId="43" fillId="39" borderId="0" xfId="28" applyFont="1" applyFill="1" applyAlignment="1">
      <alignment horizontal="center" vertical="center"/>
    </xf>
    <xf numFmtId="4" fontId="3" fillId="39" borderId="1" xfId="0" applyNumberFormat="1" applyFont="1" applyFill="1" applyBorder="1" applyAlignment="1">
      <alignment horizontal="center" vertical="center" wrapText="1"/>
    </xf>
    <xf numFmtId="3" fontId="3" fillId="39" borderId="0" xfId="0" applyNumberFormat="1" applyFont="1" applyFill="1" applyAlignment="1">
      <alignment vertical="center"/>
    </xf>
    <xf numFmtId="3" fontId="4" fillId="39" borderId="0" xfId="0" applyNumberFormat="1" applyFont="1" applyFill="1" applyAlignment="1">
      <alignment horizontal="left" vertical="center" wrapText="1"/>
    </xf>
    <xf numFmtId="3" fontId="4" fillId="39" borderId="0" xfId="0" quotePrefix="1" applyNumberFormat="1" applyFont="1" applyFill="1" applyAlignment="1">
      <alignment horizontal="left" vertical="center"/>
    </xf>
    <xf numFmtId="1" fontId="7" fillId="39" borderId="0" xfId="0" quotePrefix="1" applyNumberFormat="1" applyFont="1" applyFill="1" applyAlignment="1">
      <alignment horizontal="center" vertical="center" wrapText="1"/>
    </xf>
    <xf numFmtId="0" fontId="2" fillId="0" borderId="0" xfId="0" applyFont="1"/>
    <xf numFmtId="0" fontId="45" fillId="39" borderId="0" xfId="0" applyFont="1" applyFill="1" applyAlignment="1">
      <alignment horizontal="left" vertical="center"/>
    </xf>
    <xf numFmtId="172" fontId="45" fillId="39" borderId="0" xfId="0" applyNumberFormat="1" applyFont="1" applyFill="1" applyAlignment="1">
      <alignment horizontal="center" vertical="center"/>
    </xf>
    <xf numFmtId="4" fontId="45" fillId="39" borderId="0" xfId="0" applyNumberFormat="1" applyFont="1" applyFill="1" applyAlignment="1">
      <alignment horizontal="left" vertical="center"/>
    </xf>
    <xf numFmtId="0" fontId="43" fillId="39" borderId="0" xfId="0" applyFont="1" applyFill="1" applyAlignment="1">
      <alignment horizontal="left" vertical="center" wrapText="1"/>
    </xf>
    <xf numFmtId="0" fontId="43" fillId="39" borderId="0" xfId="0" quotePrefix="1" applyFont="1" applyFill="1" applyAlignment="1">
      <alignment horizontal="left" vertical="center" wrapText="1"/>
    </xf>
    <xf numFmtId="0" fontId="43" fillId="39" borderId="0" xfId="0" quotePrefix="1" applyFont="1" applyFill="1" applyAlignment="1">
      <alignment horizontal="left" vertical="center"/>
    </xf>
    <xf numFmtId="0" fontId="45" fillId="39" borderId="0" xfId="0" applyFont="1" applyFill="1" applyAlignment="1">
      <alignment horizontal="left" vertical="center" wrapText="1"/>
    </xf>
    <xf numFmtId="0" fontId="42" fillId="39" borderId="0" xfId="0" applyFont="1" applyFill="1" applyAlignment="1">
      <alignment horizontal="left" vertical="center" wrapText="1"/>
    </xf>
    <xf numFmtId="165" fontId="42" fillId="39" borderId="0" xfId="0" applyNumberFormat="1" applyFont="1" applyFill="1" applyAlignment="1">
      <alignment horizontal="left" vertical="center"/>
    </xf>
    <xf numFmtId="0" fontId="7" fillId="39" borderId="0" xfId="0" applyFont="1" applyFill="1" applyAlignment="1">
      <alignment horizontal="left" vertical="center"/>
    </xf>
    <xf numFmtId="0" fontId="83" fillId="39" borderId="7" xfId="0" quotePrefix="1" applyFont="1" applyFill="1" applyBorder="1" applyAlignment="1">
      <alignment horizontal="center" vertical="center"/>
    </xf>
    <xf numFmtId="3" fontId="7" fillId="39" borderId="0" xfId="0" applyNumberFormat="1" applyFont="1" applyFill="1" applyAlignment="1">
      <alignment horizontal="center" vertical="center"/>
    </xf>
    <xf numFmtId="0" fontId="75" fillId="39" borderId="0" xfId="0" applyFont="1" applyFill="1" applyAlignment="1">
      <alignment vertical="center"/>
    </xf>
    <xf numFmtId="166" fontId="3" fillId="39" borderId="0" xfId="0" applyNumberFormat="1" applyFont="1" applyFill="1" applyAlignment="1">
      <alignment horizontal="center" vertical="center" wrapText="1"/>
    </xf>
    <xf numFmtId="0" fontId="42" fillId="39" borderId="0" xfId="0" applyFont="1" applyFill="1" applyAlignment="1">
      <alignment vertical="center"/>
    </xf>
    <xf numFmtId="0" fontId="55" fillId="39" borderId="0" xfId="0" applyFont="1" applyFill="1" applyAlignment="1">
      <alignment vertical="center" wrapText="1"/>
    </xf>
    <xf numFmtId="0" fontId="10" fillId="39" borderId="0" xfId="0" applyFont="1" applyFill="1" applyAlignment="1">
      <alignment horizontal="left" vertical="center" wrapText="1"/>
    </xf>
    <xf numFmtId="0" fontId="3" fillId="39" borderId="1" xfId="0" applyFont="1" applyFill="1" applyBorder="1" applyAlignment="1">
      <alignment horizontal="center" vertical="center"/>
    </xf>
    <xf numFmtId="3" fontId="3" fillId="39" borderId="1" xfId="0" applyNumberFormat="1" applyFont="1" applyFill="1" applyBorder="1" applyAlignment="1">
      <alignment horizontal="center" vertical="center" wrapText="1"/>
    </xf>
    <xf numFmtId="0" fontId="52" fillId="39" borderId="1" xfId="0" applyFont="1" applyFill="1" applyBorder="1" applyAlignment="1">
      <alignment horizontal="center" vertical="center" wrapText="1"/>
    </xf>
    <xf numFmtId="2" fontId="3" fillId="39" borderId="1" xfId="28" applyNumberFormat="1" applyFont="1" applyFill="1" applyBorder="1" applyAlignment="1">
      <alignment horizontal="center" vertical="center" wrapText="1"/>
    </xf>
    <xf numFmtId="169" fontId="3" fillId="39" borderId="1" xfId="28" applyNumberFormat="1" applyFont="1" applyFill="1" applyBorder="1" applyAlignment="1">
      <alignment horizontal="center" vertical="center" wrapText="1"/>
    </xf>
    <xf numFmtId="10" fontId="3" fillId="39" borderId="3" xfId="28" applyNumberFormat="1" applyFont="1" applyFill="1" applyBorder="1" applyAlignment="1">
      <alignment horizontal="center" vertical="center" wrapText="1"/>
    </xf>
    <xf numFmtId="169" fontId="3" fillId="39" borderId="3" xfId="28" applyNumberFormat="1" applyFont="1" applyFill="1" applyBorder="1" applyAlignment="1">
      <alignment horizontal="center" vertical="center" wrapText="1"/>
    </xf>
    <xf numFmtId="0" fontId="4" fillId="39" borderId="0" xfId="0" applyFont="1" applyFill="1" applyAlignment="1">
      <alignment horizontal="center" vertical="center"/>
    </xf>
    <xf numFmtId="169" fontId="3" fillId="39" borderId="3" xfId="0" applyNumberFormat="1" applyFont="1" applyFill="1" applyBorder="1" applyAlignment="1">
      <alignment vertical="center"/>
    </xf>
    <xf numFmtId="164" fontId="12" fillId="2" borderId="9" xfId="0" applyNumberFormat="1" applyFont="1" applyFill="1" applyBorder="1" applyAlignment="1">
      <alignment vertical="center"/>
    </xf>
    <xf numFmtId="164" fontId="6" fillId="41" borderId="9" xfId="28" applyFont="1" applyFill="1" applyBorder="1" applyAlignment="1" applyProtection="1">
      <alignment horizontal="right" vertical="center"/>
    </xf>
    <xf numFmtId="0" fontId="19" fillId="0" borderId="0" xfId="0" applyFont="1" applyAlignment="1">
      <alignment horizontal="center" vertical="center" wrapText="1"/>
    </xf>
    <xf numFmtId="0" fontId="6" fillId="0" borderId="0" xfId="0" applyFont="1" applyAlignment="1">
      <alignment horizontal="center" vertical="center"/>
    </xf>
    <xf numFmtId="0" fontId="6" fillId="39" borderId="0" xfId="0" applyFont="1" applyFill="1" applyAlignment="1">
      <alignment horizontal="center" vertical="center" wrapText="1"/>
    </xf>
    <xf numFmtId="4" fontId="6" fillId="42" borderId="0" xfId="0" applyNumberFormat="1" applyFont="1" applyFill="1" applyAlignment="1">
      <alignment vertical="center"/>
    </xf>
    <xf numFmtId="170" fontId="46" fillId="0" borderId="0" xfId="0" applyNumberFormat="1" applyFont="1" applyAlignment="1">
      <alignment horizontal="center" vertical="center"/>
    </xf>
    <xf numFmtId="164" fontId="43" fillId="39" borderId="0" xfId="28" applyFont="1" applyFill="1" applyBorder="1" applyAlignment="1" applyProtection="1">
      <alignment horizontal="right" vertical="center"/>
    </xf>
    <xf numFmtId="4" fontId="43" fillId="0" borderId="0" xfId="0" applyNumberFormat="1" applyFont="1" applyAlignment="1">
      <alignment vertical="center"/>
    </xf>
    <xf numFmtId="0" fontId="6" fillId="2" borderId="10" xfId="0" applyFont="1" applyFill="1" applyBorder="1" applyAlignment="1">
      <alignment horizontal="center" vertical="center"/>
    </xf>
    <xf numFmtId="0" fontId="79" fillId="39" borderId="0" xfId="0" applyFont="1" applyFill="1" applyAlignment="1">
      <alignment horizontal="center" vertical="center"/>
    </xf>
    <xf numFmtId="0" fontId="6" fillId="0" borderId="0" xfId="0" applyFont="1" applyAlignment="1">
      <alignment horizontal="right" vertical="center" wrapText="1"/>
    </xf>
    <xf numFmtId="0" fontId="6" fillId="39" borderId="0" xfId="0" applyFont="1" applyFill="1" applyAlignment="1">
      <alignment horizontal="center" vertical="center"/>
    </xf>
    <xf numFmtId="0" fontId="12" fillId="39" borderId="0" xfId="0" applyFont="1" applyFill="1" applyAlignment="1">
      <alignment horizontal="center" vertical="center"/>
    </xf>
    <xf numFmtId="169" fontId="43" fillId="0" borderId="3" xfId="28" applyNumberFormat="1" applyFont="1" applyBorder="1" applyAlignment="1">
      <alignment vertical="center" wrapText="1"/>
    </xf>
    <xf numFmtId="9" fontId="4" fillId="39" borderId="0" xfId="0" applyNumberFormat="1" applyFont="1" applyFill="1" applyAlignment="1">
      <alignment vertical="center"/>
    </xf>
    <xf numFmtId="9" fontId="43" fillId="39" borderId="0" xfId="0" applyNumberFormat="1" applyFont="1" applyFill="1" applyAlignment="1">
      <alignment vertical="center"/>
    </xf>
    <xf numFmtId="173" fontId="43" fillId="0" borderId="3" xfId="28" applyNumberFormat="1" applyFont="1" applyBorder="1" applyAlignment="1">
      <alignment vertical="center" wrapText="1"/>
    </xf>
    <xf numFmtId="0" fontId="7" fillId="0" borderId="0" xfId="0" applyFont="1" applyAlignment="1">
      <alignment vertical="center" wrapText="1"/>
    </xf>
    <xf numFmtId="0" fontId="43" fillId="0" borderId="0" xfId="0" applyFont="1" applyAlignment="1">
      <alignment vertical="center" wrapText="1"/>
    </xf>
    <xf numFmtId="0" fontId="47" fillId="0" borderId="0" xfId="0" applyFont="1" applyAlignment="1">
      <alignment vertical="center" wrapText="1"/>
    </xf>
    <xf numFmtId="0" fontId="28" fillId="0" borderId="0" xfId="0" applyFont="1" applyAlignment="1">
      <alignment vertical="center" wrapText="1"/>
    </xf>
    <xf numFmtId="0" fontId="45" fillId="43" borderId="0" xfId="0" applyFont="1" applyFill="1" applyAlignment="1">
      <alignment vertical="center" wrapText="1"/>
    </xf>
    <xf numFmtId="0" fontId="2" fillId="0" borderId="0" xfId="0" applyFont="1" applyAlignment="1">
      <alignment vertical="center" wrapText="1"/>
    </xf>
    <xf numFmtId="172" fontId="2" fillId="0" borderId="0" xfId="0" applyNumberFormat="1" applyFont="1" applyAlignment="1">
      <alignment vertical="center" wrapText="1"/>
    </xf>
    <xf numFmtId="0" fontId="43" fillId="43" borderId="0" xfId="0" applyFont="1" applyFill="1" applyAlignment="1">
      <alignment vertical="center" wrapText="1"/>
    </xf>
    <xf numFmtId="0" fontId="2" fillId="43" borderId="0" xfId="0" applyFont="1" applyFill="1" applyAlignment="1">
      <alignment wrapText="1"/>
    </xf>
    <xf numFmtId="172" fontId="2" fillId="43" borderId="0" xfId="0" applyNumberFormat="1" applyFont="1" applyFill="1" applyAlignment="1">
      <alignment wrapText="1"/>
    </xf>
    <xf numFmtId="0" fontId="43" fillId="43" borderId="0" xfId="0" applyFont="1" applyFill="1" applyAlignment="1">
      <alignment vertical="center"/>
    </xf>
    <xf numFmtId="0" fontId="33" fillId="0" borderId="0" xfId="0" applyFont="1" applyAlignment="1">
      <alignment vertical="center" wrapText="1"/>
    </xf>
    <xf numFmtId="0" fontId="34" fillId="0" borderId="0" xfId="0" applyFont="1" applyAlignment="1">
      <alignment vertical="center"/>
    </xf>
    <xf numFmtId="0" fontId="12" fillId="0" borderId="0" xfId="0" applyFont="1" applyAlignment="1">
      <alignment vertical="center" wrapText="1"/>
    </xf>
    <xf numFmtId="0" fontId="6" fillId="0" borderId="3" xfId="0" applyFont="1" applyBorder="1" applyAlignment="1">
      <alignment horizontal="center" vertical="center"/>
    </xf>
    <xf numFmtId="0" fontId="6" fillId="0" borderId="3" xfId="0" applyFont="1" applyBorder="1" applyAlignment="1">
      <alignment horizontal="center" vertical="center" wrapText="1"/>
    </xf>
    <xf numFmtId="0" fontId="43" fillId="44" borderId="7" xfId="0" applyFont="1" applyFill="1" applyBorder="1" applyAlignment="1">
      <alignment horizontal="center" vertical="center"/>
    </xf>
    <xf numFmtId="0" fontId="6" fillId="39" borderId="1" xfId="0" applyFont="1" applyFill="1" applyBorder="1" applyAlignment="1">
      <alignment horizontal="center" vertical="center" wrapText="1"/>
    </xf>
    <xf numFmtId="0" fontId="6" fillId="0" borderId="1" xfId="0" applyFont="1" applyBorder="1" applyAlignment="1">
      <alignment horizontal="center" vertical="center" wrapText="1"/>
    </xf>
    <xf numFmtId="164" fontId="6" fillId="39" borderId="5" xfId="28" applyFont="1" applyFill="1" applyBorder="1" applyAlignment="1">
      <alignment horizontal="center" vertical="center" wrapText="1"/>
    </xf>
    <xf numFmtId="0" fontId="82" fillId="39" borderId="0" xfId="0" applyFont="1" applyFill="1" applyAlignment="1">
      <alignment horizontal="right" vertical="center"/>
    </xf>
    <xf numFmtId="0" fontId="5" fillId="0" borderId="3" xfId="0" applyFont="1" applyBorder="1" applyAlignment="1">
      <alignment horizontal="center" vertical="center" wrapText="1"/>
    </xf>
    <xf numFmtId="0" fontId="5" fillId="0" borderId="3" xfId="0" quotePrefix="1" applyFont="1" applyBorder="1" applyAlignment="1">
      <alignment horizontal="center" vertical="center"/>
    </xf>
    <xf numFmtId="0" fontId="5" fillId="0" borderId="3" xfId="0" quotePrefix="1" applyFont="1" applyBorder="1" applyAlignment="1">
      <alignment horizontal="left" vertical="center" wrapText="1"/>
    </xf>
    <xf numFmtId="0" fontId="5" fillId="0" borderId="3" xfId="0" applyFont="1" applyBorder="1" applyAlignment="1">
      <alignment vertical="center" wrapText="1"/>
    </xf>
    <xf numFmtId="164" fontId="5" fillId="0" borderId="3" xfId="28" applyFont="1" applyBorder="1" applyAlignment="1">
      <alignment vertical="center" wrapText="1"/>
    </xf>
    <xf numFmtId="173" fontId="5" fillId="0" borderId="3" xfId="28" applyNumberFormat="1" applyFont="1" applyBorder="1" applyAlignment="1">
      <alignment vertical="center" wrapText="1"/>
    </xf>
    <xf numFmtId="49" fontId="5" fillId="0" borderId="3" xfId="0" applyNumberFormat="1" applyFont="1" applyBorder="1" applyAlignment="1">
      <alignment vertical="center"/>
    </xf>
    <xf numFmtId="49" fontId="5" fillId="0" borderId="0" xfId="0" applyNumberFormat="1" applyFont="1" applyAlignment="1">
      <alignment vertical="center"/>
    </xf>
    <xf numFmtId="176" fontId="12" fillId="0" borderId="0" xfId="58" applyNumberFormat="1" applyFont="1"/>
    <xf numFmtId="176" fontId="4" fillId="0" borderId="0" xfId="58" applyNumberFormat="1" applyFont="1"/>
    <xf numFmtId="176" fontId="4" fillId="0" borderId="0" xfId="57" applyNumberFormat="1" applyFont="1" applyAlignment="1">
      <alignment vertical="center"/>
    </xf>
    <xf numFmtId="176" fontId="3" fillId="0" borderId="0" xfId="58" applyNumberFormat="1" applyFont="1" applyAlignment="1">
      <alignment horizontal="right"/>
    </xf>
    <xf numFmtId="176" fontId="6" fillId="0" borderId="1" xfId="58" applyNumberFormat="1" applyFont="1" applyBorder="1" applyAlignment="1">
      <alignment horizontal="center" vertical="center" wrapText="1"/>
    </xf>
    <xf numFmtId="176" fontId="12" fillId="0" borderId="3" xfId="28" applyNumberFormat="1" applyFont="1" applyFill="1" applyBorder="1" applyAlignment="1">
      <alignment horizontal="right" vertical="center"/>
    </xf>
    <xf numFmtId="176" fontId="5" fillId="0" borderId="0" xfId="58" applyNumberFormat="1" applyFont="1"/>
    <xf numFmtId="175" fontId="12" fillId="0" borderId="0" xfId="58" applyNumberFormat="1" applyFont="1"/>
    <xf numFmtId="175" fontId="4" fillId="0" borderId="0" xfId="58" applyNumberFormat="1" applyFont="1"/>
    <xf numFmtId="175" fontId="4" fillId="0" borderId="0" xfId="57" applyNumberFormat="1" applyFont="1" applyAlignment="1">
      <alignment vertical="center"/>
    </xf>
    <xf numFmtId="175" fontId="4" fillId="0" borderId="0" xfId="58" applyNumberFormat="1" applyFont="1" applyAlignment="1">
      <alignment horizontal="right"/>
    </xf>
    <xf numFmtId="175" fontId="6" fillId="0" borderId="2" xfId="58" applyNumberFormat="1" applyFont="1" applyBorder="1" applyAlignment="1">
      <alignment horizontal="center" vertical="center" wrapText="1"/>
    </xf>
    <xf numFmtId="175" fontId="12" fillId="0" borderId="3" xfId="28" applyNumberFormat="1" applyFont="1" applyFill="1" applyBorder="1" applyAlignment="1">
      <alignment horizontal="center" vertical="center"/>
    </xf>
    <xf numFmtId="175" fontId="5" fillId="0" borderId="0" xfId="58" applyNumberFormat="1" applyFont="1"/>
    <xf numFmtId="174" fontId="43" fillId="0" borderId="3" xfId="28" applyNumberFormat="1" applyFont="1" applyBorder="1" applyAlignment="1">
      <alignment vertical="center" wrapText="1"/>
    </xf>
    <xf numFmtId="173" fontId="5" fillId="0" borderId="0" xfId="0" applyNumberFormat="1" applyFont="1" applyAlignment="1">
      <alignment vertical="center"/>
    </xf>
    <xf numFmtId="173" fontId="4" fillId="0" borderId="0" xfId="0" applyNumberFormat="1" applyFont="1" applyAlignment="1">
      <alignment vertical="center"/>
    </xf>
    <xf numFmtId="173" fontId="46" fillId="0" borderId="3" xfId="0" applyNumberFormat="1" applyFont="1" applyBorder="1" applyAlignment="1">
      <alignment horizontal="center" vertical="center" wrapText="1"/>
    </xf>
    <xf numFmtId="173" fontId="46" fillId="0" borderId="3" xfId="28" applyNumberFormat="1" applyFont="1" applyBorder="1" applyAlignment="1">
      <alignment vertical="center"/>
    </xf>
    <xf numFmtId="173" fontId="47" fillId="0" borderId="0" xfId="0" applyNumberFormat="1" applyFont="1" applyAlignment="1">
      <alignment vertical="center"/>
    </xf>
    <xf numFmtId="173" fontId="7" fillId="0" borderId="0" xfId="0" applyNumberFormat="1" applyFont="1" applyAlignment="1">
      <alignment vertical="center"/>
    </xf>
    <xf numFmtId="0" fontId="8" fillId="0" borderId="0" xfId="0" applyFont="1" applyAlignment="1">
      <alignment horizontal="center" vertical="center"/>
    </xf>
    <xf numFmtId="0" fontId="57" fillId="0" borderId="22" xfId="0" applyFont="1" applyBorder="1" applyAlignment="1">
      <alignment wrapText="1"/>
    </xf>
    <xf numFmtId="0" fontId="57" fillId="45" borderId="23" xfId="0" applyFont="1" applyFill="1" applyBorder="1" applyAlignment="1">
      <alignment wrapText="1"/>
    </xf>
    <xf numFmtId="0" fontId="57" fillId="0" borderId="23" xfId="0" applyFont="1" applyBorder="1" applyAlignment="1">
      <alignment wrapText="1"/>
    </xf>
    <xf numFmtId="0" fontId="57" fillId="43" borderId="23" xfId="0" applyFont="1" applyFill="1" applyBorder="1" applyAlignment="1">
      <alignment wrapText="1"/>
    </xf>
    <xf numFmtId="177" fontId="5" fillId="0" borderId="0" xfId="0" applyNumberFormat="1" applyFont="1" applyAlignment="1">
      <alignment vertical="center"/>
    </xf>
    <xf numFmtId="173" fontId="46" fillId="0" borderId="3" xfId="28" applyNumberFormat="1" applyFont="1" applyBorder="1" applyAlignment="1">
      <alignment horizontal="right" vertical="center"/>
    </xf>
    <xf numFmtId="0" fontId="12" fillId="0" borderId="3" xfId="0" applyFont="1" applyBorder="1" applyAlignment="1">
      <alignment vertical="center" wrapText="1"/>
    </xf>
    <xf numFmtId="0" fontId="79" fillId="0" borderId="0" xfId="0" applyFont="1" applyAlignment="1">
      <alignment horizontal="center" vertical="center"/>
    </xf>
    <xf numFmtId="14" fontId="6" fillId="39" borderId="0" xfId="0" applyNumberFormat="1" applyFont="1" applyFill="1" applyAlignment="1">
      <alignment horizontal="center" vertical="center"/>
    </xf>
    <xf numFmtId="0" fontId="51" fillId="39" borderId="0" xfId="0" applyFont="1" applyFill="1" applyAlignment="1">
      <alignment horizontal="center" vertical="center"/>
    </xf>
    <xf numFmtId="0" fontId="51" fillId="0" borderId="0" xfId="0" applyFont="1" applyAlignment="1">
      <alignment horizontal="center" vertical="center"/>
    </xf>
    <xf numFmtId="0" fontId="5" fillId="39" borderId="0" xfId="0" applyFont="1" applyFill="1" applyAlignment="1">
      <alignment horizontal="center" vertical="center" wrapText="1"/>
    </xf>
    <xf numFmtId="0" fontId="5" fillId="0" borderId="0" xfId="0" applyFont="1" applyAlignment="1">
      <alignment horizontal="center" vertical="center" wrapText="1"/>
    </xf>
    <xf numFmtId="0" fontId="33" fillId="0" borderId="0" xfId="0" applyFont="1" applyAlignment="1">
      <alignment horizontal="center" vertical="center"/>
    </xf>
    <xf numFmtId="43" fontId="83" fillId="39" borderId="0" xfId="0" applyNumberFormat="1" applyFont="1" applyFill="1" applyAlignment="1">
      <alignment vertical="center"/>
    </xf>
    <xf numFmtId="0" fontId="4" fillId="39" borderId="24" xfId="0" quotePrefix="1" applyFont="1" applyFill="1" applyBorder="1" applyAlignment="1">
      <alignment horizontal="center" vertical="center" wrapText="1"/>
    </xf>
    <xf numFmtId="0" fontId="4" fillId="39" borderId="25" xfId="53" applyFont="1" applyFill="1" applyBorder="1" applyAlignment="1">
      <alignment horizontal="center" vertical="center" wrapText="1"/>
    </xf>
    <xf numFmtId="0" fontId="12" fillId="0" borderId="3" xfId="0" applyFont="1" applyBorder="1" applyAlignment="1">
      <alignment wrapText="1"/>
    </xf>
    <xf numFmtId="0" fontId="12" fillId="43" borderId="3" xfId="0" applyFont="1" applyFill="1" applyBorder="1" applyAlignment="1">
      <alignment wrapText="1"/>
    </xf>
    <xf numFmtId="0" fontId="12" fillId="0" borderId="3" xfId="0" applyFont="1" applyBorder="1" applyAlignment="1">
      <alignment vertical="top" wrapText="1"/>
    </xf>
    <xf numFmtId="0" fontId="12" fillId="43" borderId="3" xfId="0" applyFont="1" applyFill="1" applyBorder="1" applyAlignment="1">
      <alignment vertical="top" wrapText="1"/>
    </xf>
    <xf numFmtId="0" fontId="4" fillId="39" borderId="24" xfId="0" quotePrefix="1" applyFont="1" applyFill="1" applyBorder="1" applyAlignment="1">
      <alignment horizontal="center" vertical="center"/>
    </xf>
    <xf numFmtId="0" fontId="12" fillId="39" borderId="3" xfId="0" applyFont="1" applyFill="1" applyBorder="1" applyAlignment="1">
      <alignment wrapText="1"/>
    </xf>
    <xf numFmtId="0" fontId="57" fillId="0" borderId="0" xfId="0" applyFont="1" applyAlignment="1">
      <alignment wrapText="1"/>
    </xf>
    <xf numFmtId="173" fontId="3" fillId="39" borderId="5" xfId="28" applyNumberFormat="1" applyFont="1" applyFill="1" applyBorder="1" applyAlignment="1" applyProtection="1">
      <alignment horizontal="right" vertical="center"/>
    </xf>
    <xf numFmtId="0" fontId="12" fillId="0" borderId="3" xfId="0" applyFont="1" applyBorder="1" applyAlignment="1">
      <alignment horizontal="center" vertical="center" wrapText="1"/>
    </xf>
    <xf numFmtId="3" fontId="12" fillId="0" borderId="3" xfId="0" applyNumberFormat="1" applyFont="1" applyBorder="1" applyAlignment="1">
      <alignment horizontal="center" vertical="center" wrapText="1"/>
    </xf>
    <xf numFmtId="0" fontId="12" fillId="43" borderId="3" xfId="0" applyFont="1" applyFill="1" applyBorder="1" applyAlignment="1">
      <alignment horizontal="center" vertical="center" wrapText="1"/>
    </xf>
    <xf numFmtId="3" fontId="12" fillId="43" borderId="3" xfId="0" applyNumberFormat="1" applyFont="1" applyFill="1" applyBorder="1" applyAlignment="1">
      <alignment horizontal="center" vertical="center" wrapText="1"/>
    </xf>
    <xf numFmtId="3" fontId="12" fillId="39" borderId="3" xfId="0" applyNumberFormat="1" applyFont="1" applyFill="1" applyBorder="1" applyAlignment="1">
      <alignment horizontal="center" vertical="center" wrapText="1"/>
    </xf>
    <xf numFmtId="0" fontId="12" fillId="0" borderId="11" xfId="0" applyFont="1" applyBorder="1" applyAlignment="1">
      <alignment wrapText="1"/>
    </xf>
    <xf numFmtId="0" fontId="12" fillId="0" borderId="8" xfId="0" applyFont="1" applyBorder="1" applyAlignment="1">
      <alignment horizontal="center" vertical="center" wrapText="1"/>
    </xf>
    <xf numFmtId="164" fontId="83" fillId="39" borderId="8" xfId="28" applyFont="1" applyFill="1" applyBorder="1" applyAlignment="1">
      <alignment vertical="center"/>
    </xf>
    <xf numFmtId="174" fontId="3" fillId="39" borderId="5" xfId="28" applyNumberFormat="1" applyFont="1" applyFill="1" applyBorder="1" applyAlignment="1" applyProtection="1">
      <alignment horizontal="right" vertical="center"/>
    </xf>
    <xf numFmtId="4" fontId="84" fillId="39" borderId="7" xfId="0" applyNumberFormat="1" applyFont="1" applyFill="1" applyBorder="1" applyAlignment="1">
      <alignment horizontal="center" vertical="center" wrapText="1"/>
    </xf>
    <xf numFmtId="4" fontId="84" fillId="39" borderId="24" xfId="0" applyNumberFormat="1" applyFont="1" applyFill="1" applyBorder="1" applyAlignment="1">
      <alignment horizontal="center" vertical="center" wrapText="1"/>
    </xf>
    <xf numFmtId="1" fontId="3" fillId="39" borderId="1" xfId="0" applyNumberFormat="1" applyFont="1" applyFill="1" applyBorder="1" applyAlignment="1">
      <alignment horizontal="center" vertical="center" wrapText="1"/>
    </xf>
    <xf numFmtId="3" fontId="85" fillId="39" borderId="11" xfId="61" applyNumberFormat="1" applyFont="1" applyFill="1" applyBorder="1" applyAlignment="1">
      <alignment horizontal="center" vertical="center" wrapText="1"/>
    </xf>
    <xf numFmtId="168" fontId="83" fillId="39" borderId="11" xfId="28" applyNumberFormat="1" applyFont="1" applyFill="1" applyBorder="1" applyAlignment="1">
      <alignment horizontal="right" vertical="center" wrapText="1"/>
    </xf>
    <xf numFmtId="169" fontId="83" fillId="39" borderId="8" xfId="28" applyNumberFormat="1" applyFont="1" applyFill="1" applyBorder="1" applyAlignment="1">
      <alignment vertical="center"/>
    </xf>
    <xf numFmtId="169" fontId="83" fillId="39" borderId="25" xfId="28" applyNumberFormat="1" applyFont="1" applyFill="1" applyBorder="1" applyAlignment="1">
      <alignment vertical="center"/>
    </xf>
    <xf numFmtId="9" fontId="12" fillId="0" borderId="3" xfId="0" applyNumberFormat="1" applyFont="1" applyBorder="1" applyAlignment="1">
      <alignment horizontal="center" vertical="center" wrapText="1"/>
    </xf>
    <xf numFmtId="9" fontId="12" fillId="45" borderId="3" xfId="0" applyNumberFormat="1" applyFont="1" applyFill="1" applyBorder="1" applyAlignment="1">
      <alignment horizontal="center" vertical="center" wrapText="1"/>
    </xf>
    <xf numFmtId="169" fontId="83" fillId="39" borderId="7" xfId="28" applyNumberFormat="1" applyFont="1" applyFill="1" applyBorder="1" applyAlignment="1">
      <alignment vertical="center"/>
    </xf>
    <xf numFmtId="0" fontId="12" fillId="39" borderId="3" xfId="0" applyFont="1" applyFill="1" applyBorder="1" applyAlignment="1">
      <alignment horizontal="center" vertical="center" wrapText="1"/>
    </xf>
    <xf numFmtId="178" fontId="12" fillId="0" borderId="3" xfId="28" applyNumberFormat="1" applyFont="1" applyFill="1" applyBorder="1" applyAlignment="1">
      <alignment horizontal="center" vertical="center"/>
    </xf>
    <xf numFmtId="0" fontId="5" fillId="2" borderId="7" xfId="0" quotePrefix="1" applyFont="1" applyFill="1" applyBorder="1" applyAlignment="1">
      <alignment horizontal="center" vertical="center"/>
    </xf>
    <xf numFmtId="0" fontId="7" fillId="0" borderId="7" xfId="58" applyFont="1" applyBorder="1"/>
    <xf numFmtId="178" fontId="12" fillId="0" borderId="8" xfId="28" applyNumberFormat="1" applyFont="1" applyFill="1" applyBorder="1" applyAlignment="1">
      <alignment horizontal="center" vertical="center"/>
    </xf>
    <xf numFmtId="3" fontId="12" fillId="0" borderId="2" xfId="28" applyNumberFormat="1" applyFont="1" applyFill="1" applyBorder="1" applyAlignment="1">
      <alignment horizontal="center" vertical="center"/>
    </xf>
    <xf numFmtId="0" fontId="12" fillId="0" borderId="1" xfId="0" applyFont="1" applyBorder="1" applyAlignment="1">
      <alignment wrapText="1"/>
    </xf>
    <xf numFmtId="0" fontId="12" fillId="0" borderId="5" xfId="0" applyFont="1" applyBorder="1" applyAlignment="1">
      <alignment wrapText="1"/>
    </xf>
    <xf numFmtId="3" fontId="12" fillId="0" borderId="26" xfId="28" applyNumberFormat="1" applyFont="1" applyFill="1" applyBorder="1" applyAlignment="1">
      <alignment horizontal="center" vertical="center"/>
    </xf>
    <xf numFmtId="0" fontId="6" fillId="2" borderId="7" xfId="0" applyFont="1" applyFill="1" applyBorder="1" applyAlignment="1">
      <alignment horizontal="center" vertical="center"/>
    </xf>
    <xf numFmtId="164" fontId="6" fillId="39" borderId="25" xfId="28" applyFont="1" applyFill="1" applyBorder="1" applyAlignment="1">
      <alignment horizontal="center" vertical="center" wrapText="1"/>
    </xf>
    <xf numFmtId="0" fontId="12" fillId="0" borderId="5" xfId="0" applyFont="1" applyBorder="1" applyAlignment="1">
      <alignment horizontal="center" vertical="center" wrapText="1"/>
    </xf>
    <xf numFmtId="0" fontId="12" fillId="0" borderId="7" xfId="0" applyFont="1" applyBorder="1" applyAlignment="1">
      <alignment horizontal="center" vertical="center" wrapText="1"/>
    </xf>
    <xf numFmtId="0" fontId="5" fillId="0" borderId="7" xfId="47" applyFont="1" applyBorder="1" applyAlignment="1">
      <alignment horizontal="center" vertical="center"/>
    </xf>
    <xf numFmtId="0" fontId="12" fillId="0" borderId="7" xfId="0" applyFont="1" applyBorder="1" applyAlignment="1">
      <alignment horizontal="right" wrapText="1"/>
    </xf>
    <xf numFmtId="3" fontId="12" fillId="0" borderId="7" xfId="0" applyNumberFormat="1" applyFont="1" applyBorder="1" applyAlignment="1">
      <alignment horizontal="right" wrapText="1"/>
    </xf>
    <xf numFmtId="0" fontId="5" fillId="0" borderId="3" xfId="0" applyFont="1" applyBorder="1" applyAlignment="1">
      <alignment wrapText="1"/>
    </xf>
    <xf numFmtId="0" fontId="12" fillId="39" borderId="7" xfId="0" applyFont="1" applyFill="1" applyBorder="1" applyAlignment="1">
      <alignment wrapText="1"/>
    </xf>
    <xf numFmtId="0" fontId="12" fillId="39" borderId="7" xfId="0" applyFont="1" applyFill="1" applyBorder="1" applyAlignment="1">
      <alignment horizontal="center" wrapText="1"/>
    </xf>
    <xf numFmtId="0" fontId="86" fillId="39" borderId="7" xfId="0" applyFont="1" applyFill="1" applyBorder="1" applyAlignment="1">
      <alignment wrapText="1"/>
    </xf>
    <xf numFmtId="0" fontId="12" fillId="0" borderId="25" xfId="0" applyFont="1" applyBorder="1" applyAlignment="1">
      <alignment wrapText="1"/>
    </xf>
    <xf numFmtId="173" fontId="12" fillId="0" borderId="0" xfId="28" applyNumberFormat="1" applyFont="1" applyBorder="1" applyAlignment="1">
      <alignment horizontal="center" vertical="center"/>
    </xf>
    <xf numFmtId="0" fontId="79" fillId="0" borderId="0" xfId="0" applyFont="1" applyAlignment="1">
      <alignment horizontal="center" vertical="center"/>
    </xf>
    <xf numFmtId="0" fontId="8" fillId="0" borderId="0" xfId="0" applyFont="1" applyAlignment="1">
      <alignment horizontal="left" vertical="center" wrapText="1"/>
    </xf>
    <xf numFmtId="0" fontId="4" fillId="0" borderId="0" xfId="0" applyFont="1" applyAlignment="1">
      <alignment horizontal="left" vertical="center" wrapText="1"/>
    </xf>
    <xf numFmtId="0" fontId="79" fillId="39" borderId="0" xfId="0" applyFont="1" applyFill="1" applyAlignment="1">
      <alignment horizontal="center" vertical="center" wrapText="1"/>
    </xf>
    <xf numFmtId="0" fontId="88" fillId="0" borderId="0" xfId="0" applyFont="1" applyAlignment="1">
      <alignment horizontal="center" vertical="center"/>
    </xf>
    <xf numFmtId="0" fontId="87" fillId="39" borderId="0" xfId="0" applyFont="1" applyFill="1" applyAlignment="1">
      <alignment horizontal="center" vertical="center"/>
    </xf>
    <xf numFmtId="0" fontId="56" fillId="39" borderId="0" xfId="0" applyFont="1" applyFill="1" applyAlignment="1">
      <alignment horizontal="left" vertical="center"/>
    </xf>
    <xf numFmtId="171" fontId="7" fillId="0" borderId="0" xfId="0" applyNumberFormat="1" applyFont="1" applyAlignment="1">
      <alignment horizontal="left" vertical="center"/>
    </xf>
    <xf numFmtId="14" fontId="7" fillId="0" borderId="0" xfId="0" applyNumberFormat="1" applyFont="1" applyAlignment="1">
      <alignment horizontal="left" vertical="center"/>
    </xf>
    <xf numFmtId="0" fontId="5" fillId="0" borderId="4" xfId="0" applyFont="1" applyBorder="1" applyAlignment="1">
      <alignment horizontal="left" vertical="center" wrapText="1"/>
    </xf>
    <xf numFmtId="0" fontId="25" fillId="39" borderId="0" xfId="0" applyFont="1" applyFill="1" applyAlignment="1">
      <alignment horizontal="center" vertical="center"/>
    </xf>
    <xf numFmtId="166" fontId="7" fillId="39" borderId="0" xfId="0" applyNumberFormat="1" applyFont="1" applyFill="1" applyAlignment="1">
      <alignment horizontal="center" vertical="center"/>
    </xf>
    <xf numFmtId="0" fontId="42" fillId="39" borderId="0" xfId="0" applyFont="1" applyFill="1" applyAlignment="1">
      <alignment horizontal="left" vertical="center" wrapText="1"/>
    </xf>
    <xf numFmtId="165" fontId="42" fillId="39" borderId="0" xfId="0" applyNumberFormat="1" applyFont="1" applyFill="1" applyAlignment="1">
      <alignment horizontal="left" vertical="center"/>
    </xf>
    <xf numFmtId="0" fontId="43" fillId="39" borderId="0" xfId="0" applyFont="1" applyFill="1" applyAlignment="1">
      <alignment horizontal="left" vertical="center" wrapText="1"/>
    </xf>
    <xf numFmtId="0" fontId="43" fillId="43" borderId="0" xfId="0" applyFont="1" applyFill="1" applyAlignment="1">
      <alignment vertical="center" wrapText="1"/>
    </xf>
    <xf numFmtId="43" fontId="43" fillId="39" borderId="0" xfId="0" quotePrefix="1" applyNumberFormat="1" applyFont="1" applyFill="1" applyAlignment="1">
      <alignment horizontal="center" vertical="center" wrapText="1"/>
    </xf>
    <xf numFmtId="0" fontId="43" fillId="39" borderId="0" xfId="0" quotePrefix="1" applyFont="1" applyFill="1" applyAlignment="1">
      <alignment horizontal="center" vertical="center" wrapText="1"/>
    </xf>
    <xf numFmtId="0" fontId="43" fillId="39" borderId="0" xfId="0" quotePrefix="1" applyFont="1" applyFill="1" applyAlignment="1">
      <alignment horizontal="left" vertical="center"/>
    </xf>
    <xf numFmtId="0" fontId="45" fillId="39" borderId="0" xfId="0" applyFont="1" applyFill="1" applyAlignment="1">
      <alignment horizontal="left" vertical="center" wrapText="1"/>
    </xf>
    <xf numFmtId="0" fontId="41" fillId="39" borderId="24" xfId="0" applyFont="1" applyFill="1" applyBorder="1" applyAlignment="1">
      <alignment horizontal="left" vertical="center"/>
    </xf>
    <xf numFmtId="0" fontId="41" fillId="39" borderId="11" xfId="0" applyFont="1" applyFill="1" applyBorder="1" applyAlignment="1">
      <alignment horizontal="left" vertical="center"/>
    </xf>
    <xf numFmtId="0" fontId="41" fillId="39" borderId="8" xfId="0" applyFont="1" applyFill="1" applyBorder="1" applyAlignment="1">
      <alignment horizontal="left" vertical="center"/>
    </xf>
    <xf numFmtId="0" fontId="7" fillId="39" borderId="0" xfId="0" applyFont="1" applyFill="1" applyAlignment="1">
      <alignment horizontal="left" vertical="center"/>
    </xf>
    <xf numFmtId="0" fontId="43" fillId="39" borderId="0" xfId="0" quotePrefix="1" applyFont="1" applyFill="1" applyAlignment="1">
      <alignment horizontal="left" vertical="center" wrapText="1"/>
    </xf>
    <xf numFmtId="0" fontId="46" fillId="39" borderId="0" xfId="0" quotePrefix="1" applyFont="1" applyFill="1" applyAlignment="1">
      <alignment horizontal="left" vertical="center" wrapText="1"/>
    </xf>
    <xf numFmtId="0" fontId="12" fillId="39" borderId="7" xfId="0" applyFont="1" applyFill="1" applyBorder="1" applyAlignment="1">
      <alignment horizontal="center" vertical="center" wrapText="1"/>
    </xf>
    <xf numFmtId="0" fontId="12" fillId="39" borderId="7" xfId="0" applyFont="1" applyFill="1" applyBorder="1" applyAlignment="1">
      <alignment vertical="center" wrapText="1"/>
    </xf>
    <xf numFmtId="0" fontId="43" fillId="39" borderId="0" xfId="0" applyFont="1" applyFill="1" applyAlignment="1">
      <alignment horizontal="left" vertical="center"/>
    </xf>
    <xf numFmtId="0" fontId="7" fillId="39" borderId="0" xfId="0" quotePrefix="1" applyFont="1" applyFill="1" applyAlignment="1">
      <alignment horizontal="center" vertical="top"/>
    </xf>
    <xf numFmtId="0" fontId="5" fillId="0" borderId="0" xfId="0" applyFont="1" applyAlignment="1">
      <alignment horizontal="left" vertical="center" wrapText="1"/>
    </xf>
    <xf numFmtId="0" fontId="89" fillId="0" borderId="0" xfId="0" applyFont="1" applyAlignment="1">
      <alignment horizontal="center" vertical="center"/>
    </xf>
    <xf numFmtId="0" fontId="83" fillId="0" borderId="0" xfId="0" applyFont="1" applyAlignment="1">
      <alignment horizontal="center" vertical="center" wrapText="1"/>
    </xf>
    <xf numFmtId="0" fontId="80" fillId="0" borderId="0" xfId="0" applyFont="1" applyAlignment="1">
      <alignment horizontal="center" vertical="center"/>
    </xf>
    <xf numFmtId="0" fontId="12" fillId="0" borderId="7" xfId="0" applyFont="1" applyBorder="1" applyAlignment="1">
      <alignment horizontal="center" vertical="center" wrapText="1"/>
    </xf>
    <xf numFmtId="0" fontId="12" fillId="0" borderId="3" xfId="0" applyFont="1" applyBorder="1" applyAlignment="1">
      <alignment horizontal="center" vertical="center" wrapText="1"/>
    </xf>
    <xf numFmtId="14" fontId="6" fillId="0" borderId="0" xfId="58" applyNumberFormat="1" applyFont="1" applyAlignment="1">
      <alignment horizontal="left"/>
    </xf>
    <xf numFmtId="0" fontId="6" fillId="0" borderId="0" xfId="58" applyFont="1" applyAlignment="1">
      <alignment horizontal="left"/>
    </xf>
    <xf numFmtId="0" fontId="25" fillId="0" borderId="0" xfId="58" applyFont="1" applyAlignment="1">
      <alignment horizontal="center" vertical="center"/>
    </xf>
    <xf numFmtId="167" fontId="6" fillId="0" borderId="0" xfId="58" applyNumberFormat="1" applyFont="1" applyAlignment="1">
      <alignment horizontal="left"/>
    </xf>
    <xf numFmtId="4" fontId="7" fillId="0" borderId="11" xfId="58" applyNumberFormat="1" applyFont="1" applyBorder="1" applyAlignment="1">
      <alignment horizontal="center"/>
    </xf>
    <xf numFmtId="0" fontId="10" fillId="0" borderId="0" xfId="58" applyFont="1" applyAlignment="1">
      <alignment horizontal="left" vertical="center" wrapText="1"/>
    </xf>
    <xf numFmtId="0" fontId="50" fillId="0" borderId="7" xfId="0" applyFont="1" applyBorder="1" applyAlignment="1">
      <alignment horizontal="center" vertical="center"/>
    </xf>
    <xf numFmtId="0" fontId="50" fillId="0" borderId="11" xfId="0" applyFont="1" applyBorder="1" applyAlignment="1">
      <alignment horizontal="center" vertical="center"/>
    </xf>
    <xf numFmtId="0" fontId="50" fillId="0" borderId="8" xfId="0" applyFont="1" applyBorder="1" applyAlignment="1">
      <alignment horizontal="center" vertical="center"/>
    </xf>
    <xf numFmtId="0" fontId="2" fillId="0" borderId="1" xfId="0" applyFont="1" applyBorder="1" applyAlignment="1">
      <alignment horizontal="center" vertical="center"/>
    </xf>
    <xf numFmtId="0" fontId="2" fillId="0" borderId="12" xfId="0" applyFont="1" applyBorder="1" applyAlignment="1">
      <alignment horizontal="center" vertical="center"/>
    </xf>
    <xf numFmtId="0" fontId="2" fillId="0" borderId="5" xfId="0" applyFont="1" applyBorder="1" applyAlignment="1">
      <alignment horizontal="center" vertical="center"/>
    </xf>
  </cellXfs>
  <cellStyles count="68">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Comma 2" xfId="29" xr:uid="{13EA49E0-01BC-4136-94E3-EF1A0758CF0B}"/>
    <cellStyle name="Comma 3" xfId="30" xr:uid="{38BA63E1-CF1D-4790-A0C2-CC36E3D5E6DB}"/>
    <cellStyle name="Comma 4" xfId="31" xr:uid="{B5D5FF4B-A3FB-4559-93D5-48A155E89D2D}"/>
    <cellStyle name="Explanatory Text" xfId="32" builtinId="53" customBuiltin="1"/>
    <cellStyle name="Good" xfId="33" builtinId="26" customBuiltin="1"/>
    <cellStyle name="Heading 1" xfId="34" builtinId="16" customBuiltin="1"/>
    <cellStyle name="Heading 2" xfId="35" builtinId="17" customBuiltin="1"/>
    <cellStyle name="Heading 3" xfId="36" builtinId="18" customBuiltin="1"/>
    <cellStyle name="Heading 4" xfId="37" builtinId="19" customBuiltin="1"/>
    <cellStyle name="Input" xfId="38" builtinId="20" customBuiltin="1"/>
    <cellStyle name="Linked Cell" xfId="39" builtinId="24" customBuiltin="1"/>
    <cellStyle name="Neutral" xfId="40" builtinId="28" customBuiltin="1"/>
    <cellStyle name="Normal" xfId="0" builtinId="0"/>
    <cellStyle name="Normal 119" xfId="41" xr:uid="{252926ED-D187-4F14-9D44-DD6FAD1724D9}"/>
    <cellStyle name="Normal 120" xfId="42" xr:uid="{70F9BBC0-0D67-4B41-8253-B0618EF2A0BA}"/>
    <cellStyle name="Normal 130" xfId="43" xr:uid="{D4C95DD0-28CB-4551-B987-7353A3B6FC0D}"/>
    <cellStyle name="Normal 147" xfId="44" xr:uid="{3549A9A0-9721-44A5-9A31-908DCCC69092}"/>
    <cellStyle name="Normal 158" xfId="45" xr:uid="{14E72AF1-8797-481E-99E8-B8F930E04240}"/>
    <cellStyle name="Normal 2" xfId="46" xr:uid="{C440DFD6-0A7A-4F68-90AC-58BD701A0939}"/>
    <cellStyle name="Normal 2 2" xfId="47" xr:uid="{3B4612F9-05D9-4762-93AE-4BBC9F898B21}"/>
    <cellStyle name="Normal 2 2 2" xfId="48" xr:uid="{4E59C3F2-E86E-4207-A412-A282DED4CD02}"/>
    <cellStyle name="Normal 2 3" xfId="49" xr:uid="{EFFCDA77-1C65-4BB2-B60D-7678812C42A0}"/>
    <cellStyle name="Normal 3" xfId="50" xr:uid="{05208B34-8B53-41B9-8763-A5F055D45071}"/>
    <cellStyle name="Normal 4" xfId="51" xr:uid="{224C849D-94C8-4852-A44F-7382C2078113}"/>
    <cellStyle name="Normal 5" xfId="52" xr:uid="{D8C5E4B5-105D-4649-BD9E-56D9072405D0}"/>
    <cellStyle name="Normal 6" xfId="53" xr:uid="{802CCD27-1C4D-4C88-9037-9887998B0646}"/>
    <cellStyle name="Normal 85" xfId="54" xr:uid="{2678ACC4-7841-499F-BA71-9C3B8FE286B8}"/>
    <cellStyle name="Normal_Dichso 2" xfId="55" xr:uid="{4DDCEBFE-DA92-4C7A-8511-B915B79FC54D}"/>
    <cellStyle name="Normal_DocSoUnicode 2" xfId="56" xr:uid="{C1D5AC7A-366E-4899-ACE4-90A985C67C3B}"/>
    <cellStyle name="Normal_HD_23_CO" xfId="57" xr:uid="{4A5F17C2-6CCF-4A58-A754-28840A62F7C2}"/>
    <cellStyle name="Normal_INVOICE + LIST 142 VT" xfId="58" xr:uid="{902C25D9-93BF-4AD2-854C-06FBE0BA0CCA}"/>
    <cellStyle name="Note 2" xfId="59" xr:uid="{CC966B5B-0BDD-4F8E-B5E8-1BB391D2AB62}"/>
    <cellStyle name="Output" xfId="60" builtinId="21" customBuiltin="1"/>
    <cellStyle name="Percent" xfId="61" builtinId="5"/>
    <cellStyle name="Title 2" xfId="62" xr:uid="{2227F682-794F-43F3-82E1-D7BE9C961715}"/>
    <cellStyle name="Total" xfId="63" builtinId="25" customBuiltin="1"/>
    <cellStyle name="Warning Text" xfId="64" builtinId="11" customBuiltin="1"/>
    <cellStyle name="常规 3" xfId="65" xr:uid="{D0C9CF61-A059-47BC-A314-EBC34F7EF901}"/>
    <cellStyle name="常规 3 2" xfId="66" xr:uid="{C270C2B6-D0E7-471D-9401-C352232DBD88}"/>
    <cellStyle name="常规_7月25日" xfId="67" xr:uid="{9E3C8ABD-30B4-4279-A19B-C3321BA02D46}"/>
  </cellStyles>
  <dxfs count="3">
    <dxf>
      <fill>
        <patternFill>
          <bgColor rgb="FFFFFF00"/>
        </patternFill>
      </fill>
    </dxf>
    <dxf>
      <fill>
        <patternFill>
          <bgColor rgb="FFFFFF00"/>
        </patternFill>
      </fill>
    </dxf>
    <dxf>
      <fill>
        <patternFill>
          <bgColor rgb="FFFFFF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1</xdr:col>
      <xdr:colOff>542925</xdr:colOff>
      <xdr:row>167</xdr:row>
      <xdr:rowOff>57150</xdr:rowOff>
    </xdr:from>
    <xdr:to>
      <xdr:col>2</xdr:col>
      <xdr:colOff>1647825</xdr:colOff>
      <xdr:row>202</xdr:row>
      <xdr:rowOff>19050</xdr:rowOff>
    </xdr:to>
    <xdr:pic>
      <xdr:nvPicPr>
        <xdr:cNvPr id="430197" name="Picture 1">
          <a:extLst>
            <a:ext uri="{FF2B5EF4-FFF2-40B4-BE49-F238E27FC236}">
              <a16:creationId xmlns:a16="http://schemas.microsoft.com/office/drawing/2014/main" id="{2BA4DE70-526E-77BC-8895-BFBA96C939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76325" y="86848950"/>
          <a:ext cx="2171700" cy="1962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3829050</xdr:colOff>
      <xdr:row>169</xdr:row>
      <xdr:rowOff>9525</xdr:rowOff>
    </xdr:from>
    <xdr:to>
      <xdr:col>4</xdr:col>
      <xdr:colOff>752475</xdr:colOff>
      <xdr:row>191</xdr:row>
      <xdr:rowOff>38100</xdr:rowOff>
    </xdr:to>
    <xdr:pic>
      <xdr:nvPicPr>
        <xdr:cNvPr id="430198" name="Picture 1">
          <a:extLst>
            <a:ext uri="{FF2B5EF4-FFF2-40B4-BE49-F238E27FC236}">
              <a16:creationId xmlns:a16="http://schemas.microsoft.com/office/drawing/2014/main" id="{FA169ECD-AF0B-96BD-4D76-BD668564B03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rot="626360">
          <a:off x="5467350" y="86915625"/>
          <a:ext cx="1914525" cy="128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0</xdr:colOff>
      <xdr:row>139</xdr:row>
      <xdr:rowOff>0</xdr:rowOff>
    </xdr:from>
    <xdr:to>
      <xdr:col>5</xdr:col>
      <xdr:colOff>638175</xdr:colOff>
      <xdr:row>145</xdr:row>
      <xdr:rowOff>171449</xdr:rowOff>
    </xdr:to>
    <xdr:pic>
      <xdr:nvPicPr>
        <xdr:cNvPr id="360502" name="Picture 1">
          <a:extLst>
            <a:ext uri="{FF2B5EF4-FFF2-40B4-BE49-F238E27FC236}">
              <a16:creationId xmlns:a16="http://schemas.microsoft.com/office/drawing/2014/main" id="{488C88CD-F81F-FDFD-7D1C-135BDEF7B0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rot="626360">
          <a:off x="4200525" y="58893075"/>
          <a:ext cx="1905000" cy="1371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0</xdr:colOff>
      <xdr:row>140</xdr:row>
      <xdr:rowOff>0</xdr:rowOff>
    </xdr:from>
    <xdr:to>
      <xdr:col>6</xdr:col>
      <xdr:colOff>28575</xdr:colOff>
      <xdr:row>146</xdr:row>
      <xdr:rowOff>171450</xdr:rowOff>
    </xdr:to>
    <xdr:pic>
      <xdr:nvPicPr>
        <xdr:cNvPr id="431105" name="Picture 1">
          <a:extLst>
            <a:ext uri="{FF2B5EF4-FFF2-40B4-BE49-F238E27FC236}">
              <a16:creationId xmlns:a16="http://schemas.microsoft.com/office/drawing/2014/main" id="{DE7EF1C0-0E49-A239-BCD2-B9E354B6FE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rot="626360">
          <a:off x="4438650" y="166601775"/>
          <a:ext cx="1895475" cy="1371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3171825</xdr:colOff>
      <xdr:row>137</xdr:row>
      <xdr:rowOff>228600</xdr:rowOff>
    </xdr:from>
    <xdr:to>
      <xdr:col>3</xdr:col>
      <xdr:colOff>514350</xdr:colOff>
      <xdr:row>143</xdr:row>
      <xdr:rowOff>161925</xdr:rowOff>
    </xdr:to>
    <xdr:pic>
      <xdr:nvPicPr>
        <xdr:cNvPr id="432129" name="Picture 1">
          <a:extLst>
            <a:ext uri="{FF2B5EF4-FFF2-40B4-BE49-F238E27FC236}">
              <a16:creationId xmlns:a16="http://schemas.microsoft.com/office/drawing/2014/main" id="{B5D52936-B597-EDB4-88F5-ACE48D5A7D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rot="626360">
          <a:off x="3476625" y="97612200"/>
          <a:ext cx="1543050" cy="115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03450-935C-4610-8F19-8FED7A62AC43}">
  <dimension ref="A4:J12"/>
  <sheetViews>
    <sheetView workbookViewId="0">
      <selection activeCell="J12" sqref="J12"/>
    </sheetView>
  </sheetViews>
  <sheetFormatPr defaultRowHeight="12.75"/>
  <cols>
    <col min="9" max="9" width="13" customWidth="1"/>
  </cols>
  <sheetData>
    <row r="4" spans="1:10">
      <c r="A4" t="s">
        <v>127</v>
      </c>
    </row>
    <row r="5" spans="1:10">
      <c r="A5" t="s">
        <v>128</v>
      </c>
    </row>
    <row r="6" spans="1:10">
      <c r="A6" t="s">
        <v>129</v>
      </c>
    </row>
    <row r="7" spans="1:10">
      <c r="A7" t="s">
        <v>130</v>
      </c>
      <c r="I7" s="243" t="s">
        <v>96</v>
      </c>
      <c r="J7">
        <v>35700</v>
      </c>
    </row>
    <row r="8" spans="1:10">
      <c r="A8" t="s">
        <v>131</v>
      </c>
      <c r="I8" s="243" t="s">
        <v>144</v>
      </c>
    </row>
    <row r="9" spans="1:10">
      <c r="A9" t="s">
        <v>132</v>
      </c>
      <c r="I9" s="243" t="s">
        <v>145</v>
      </c>
      <c r="J9">
        <v>1120</v>
      </c>
    </row>
    <row r="10" spans="1:10">
      <c r="A10" t="s">
        <v>133</v>
      </c>
      <c r="I10" s="243" t="s">
        <v>146</v>
      </c>
      <c r="J10">
        <v>8670</v>
      </c>
    </row>
    <row r="11" spans="1:10">
      <c r="A11" t="s">
        <v>134</v>
      </c>
      <c r="J11">
        <f>J7-J9-J10</f>
        <v>25910</v>
      </c>
    </row>
    <row r="12" spans="1:10">
      <c r="A12" t="s">
        <v>135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C6915-E1E3-40E2-A60E-4F2F1FAE1CE0}">
  <sheetPr codeName="Sheet2">
    <tabColor indexed="11"/>
  </sheetPr>
  <dimension ref="A1:X167"/>
  <sheetViews>
    <sheetView tabSelected="1" topLeftCell="A132" zoomScaleNormal="100" workbookViewId="0">
      <selection activeCell="C141" sqref="C141"/>
    </sheetView>
  </sheetViews>
  <sheetFormatPr defaultRowHeight="4.5" customHeight="1"/>
  <cols>
    <col min="1" max="1" width="8" style="77" customWidth="1"/>
    <col min="2" max="2" width="16" style="219" bestFit="1" customWidth="1"/>
    <col min="3" max="3" width="69" style="100" customWidth="1"/>
    <col min="4" max="4" width="5.85546875" style="77" customWidth="1"/>
    <col min="5" max="5" width="16.140625" style="211" customWidth="1"/>
    <col min="6" max="6" width="12.28515625" style="208" customWidth="1"/>
    <col min="7" max="7" width="15.5703125" style="95" customWidth="1"/>
    <col min="8" max="8" width="5.85546875" style="95" hidden="1" customWidth="1"/>
    <col min="9" max="9" width="15.7109375" style="96" customWidth="1"/>
    <col min="10" max="10" width="14.42578125" style="189" customWidth="1"/>
    <col min="11" max="11" width="12" style="230" customWidth="1"/>
    <col min="12" max="12" width="19.42578125" style="77" customWidth="1"/>
    <col min="13" max="13" width="17.42578125" style="77" customWidth="1"/>
    <col min="14" max="14" width="19.7109375" style="97" customWidth="1"/>
    <col min="15" max="15" width="16.140625" style="77" customWidth="1"/>
    <col min="16" max="16" width="7.85546875" style="77" customWidth="1"/>
    <col min="17" max="17" width="16" style="97" bestFit="1" customWidth="1"/>
    <col min="18" max="18" width="8.42578125" style="186" hidden="1" customWidth="1"/>
    <col min="19" max="19" width="7.42578125" style="186" hidden="1" customWidth="1"/>
    <col min="20" max="20" width="14.85546875" style="77" hidden="1" customWidth="1"/>
    <col min="21" max="21" width="9.140625" style="193" hidden="1" customWidth="1"/>
    <col min="22" max="22" width="14.5703125" style="77" hidden="1" customWidth="1"/>
    <col min="23" max="16384" width="9.140625" style="77"/>
  </cols>
  <sheetData>
    <row r="1" spans="1:21" ht="31.5">
      <c r="A1" s="415" t="s">
        <v>3</v>
      </c>
      <c r="B1" s="415"/>
      <c r="C1" s="415"/>
      <c r="D1" s="415"/>
      <c r="E1" s="415"/>
      <c r="F1" s="415"/>
      <c r="G1" s="415"/>
      <c r="H1" s="253" t="s">
        <v>38</v>
      </c>
      <c r="I1" s="242" t="s">
        <v>191</v>
      </c>
      <c r="J1" s="255"/>
    </row>
    <row r="2" spans="1:21" ht="15.75">
      <c r="A2" s="416" t="str">
        <f>"Số: "&amp;I1&amp;"GF-TH/26"</f>
        <v>Số: 0902
GF-TH/26</v>
      </c>
      <c r="B2" s="416"/>
      <c r="C2" s="416"/>
      <c r="D2" s="416"/>
      <c r="E2" s="416"/>
      <c r="F2" s="416"/>
      <c r="G2" s="416"/>
      <c r="H2" s="232" t="s">
        <v>37</v>
      </c>
      <c r="I2" s="233">
        <v>46270</v>
      </c>
      <c r="J2" s="255"/>
      <c r="L2" s="256" t="str">
        <f>I1&amp;"/19NK-CM"</f>
        <v>0902
/19NK-CM</v>
      </c>
    </row>
    <row r="3" spans="1:21" ht="6" customHeight="1">
      <c r="A3" s="229"/>
      <c r="B3" s="257"/>
      <c r="C3" s="181"/>
      <c r="D3" s="229"/>
      <c r="E3" s="229"/>
      <c r="F3" s="234"/>
      <c r="G3" s="229"/>
      <c r="H3" s="232"/>
      <c r="I3" s="233"/>
      <c r="J3" s="255"/>
      <c r="L3" s="256"/>
    </row>
    <row r="4" spans="1:21" s="69" customFormat="1" ht="15" customHeight="1">
      <c r="A4" s="258"/>
      <c r="B4" s="259"/>
      <c r="C4" s="418" t="str">
        <f>"Hôm nay, ngày "&amp;DAY(I2)&amp;" tháng "&amp;MONTH(I2)&amp;" năm "&amp;YEAR(I2)&amp;" chúng tôi gồm có:"</f>
        <v>Hôm nay, ngày 5 tháng 9 năm 2026 chúng tôi gồm có:</v>
      </c>
      <c r="D4" s="418"/>
      <c r="E4" s="418"/>
      <c r="F4" s="418"/>
      <c r="G4" s="418"/>
      <c r="H4" s="252"/>
      <c r="I4" s="83" t="s">
        <v>58</v>
      </c>
      <c r="J4" s="188"/>
      <c r="K4" s="230"/>
      <c r="N4" s="90"/>
      <c r="Q4" s="90"/>
      <c r="R4" s="185"/>
      <c r="S4" s="185"/>
      <c r="U4" s="192"/>
    </row>
    <row r="5" spans="1:21" s="69" customFormat="1" ht="15" customHeight="1">
      <c r="A5" s="244"/>
      <c r="B5" s="260"/>
      <c r="C5" s="250" t="s">
        <v>149</v>
      </c>
      <c r="D5" s="244"/>
      <c r="E5" s="244"/>
      <c r="F5" s="245"/>
      <c r="G5" s="246"/>
      <c r="H5" s="246"/>
      <c r="I5" s="83"/>
      <c r="J5" s="188"/>
      <c r="K5" s="230"/>
      <c r="N5" s="90"/>
      <c r="Q5" s="90"/>
      <c r="R5" s="185"/>
      <c r="S5" s="185"/>
      <c r="U5" s="192"/>
    </row>
    <row r="6" spans="1:21" s="69" customFormat="1" ht="28.15" customHeight="1">
      <c r="A6" s="221"/>
      <c r="B6" s="222"/>
      <c r="C6" s="419" t="s">
        <v>150</v>
      </c>
      <c r="D6" s="419"/>
      <c r="E6" s="419"/>
      <c r="F6" s="419"/>
      <c r="G6" s="419"/>
      <c r="H6" s="82"/>
      <c r="I6" s="83"/>
      <c r="J6" s="188"/>
      <c r="K6" s="230"/>
      <c r="N6" s="90"/>
      <c r="Q6" s="90"/>
      <c r="R6" s="185"/>
      <c r="S6" s="185"/>
      <c r="U6" s="192"/>
    </row>
    <row r="7" spans="1:21" s="69" customFormat="1" ht="26.25" customHeight="1">
      <c r="A7" s="221"/>
      <c r="B7" s="222"/>
      <c r="C7" s="419" t="s">
        <v>151</v>
      </c>
      <c r="D7" s="419"/>
      <c r="E7" s="419"/>
      <c r="F7" s="419"/>
      <c r="G7" s="419"/>
      <c r="H7" s="82"/>
      <c r="I7" s="83"/>
      <c r="J7" s="188"/>
      <c r="K7" s="230"/>
      <c r="N7" s="90"/>
      <c r="Q7" s="90"/>
      <c r="R7" s="185"/>
      <c r="S7" s="185"/>
      <c r="U7" s="192"/>
    </row>
    <row r="8" spans="1:21" s="69" customFormat="1" ht="15" customHeight="1">
      <c r="A8" s="221"/>
      <c r="B8" s="222"/>
      <c r="C8" s="123" t="s">
        <v>152</v>
      </c>
      <c r="F8" s="207"/>
      <c r="G8" s="82"/>
      <c r="H8" s="82"/>
      <c r="I8" s="83"/>
      <c r="J8" s="188"/>
      <c r="K8" s="230"/>
      <c r="N8" s="90"/>
      <c r="Q8" s="90"/>
      <c r="R8" s="185"/>
      <c r="S8" s="185"/>
      <c r="U8" s="192"/>
    </row>
    <row r="9" spans="1:21" s="69" customFormat="1" ht="15" customHeight="1">
      <c r="A9" s="221"/>
      <c r="B9" s="222"/>
      <c r="C9" s="123" t="s">
        <v>140</v>
      </c>
      <c r="D9" s="69" t="s">
        <v>82</v>
      </c>
      <c r="F9" s="235"/>
      <c r="G9" s="223"/>
      <c r="H9" s="223"/>
      <c r="I9" s="83"/>
      <c r="J9" s="188"/>
      <c r="K9" s="230"/>
      <c r="N9" s="90"/>
      <c r="Q9" s="90"/>
      <c r="R9" s="185"/>
      <c r="S9" s="185"/>
      <c r="U9" s="192"/>
    </row>
    <row r="10" spans="1:21" s="69" customFormat="1" ht="42.75" customHeight="1">
      <c r="A10" s="221"/>
      <c r="B10" s="221"/>
      <c r="C10" s="292" t="s">
        <v>169</v>
      </c>
      <c r="D10" s="293"/>
      <c r="E10" s="293"/>
      <c r="F10" s="294"/>
      <c r="G10" s="293"/>
      <c r="H10" s="223"/>
      <c r="I10" s="83"/>
      <c r="J10" s="188"/>
      <c r="N10" s="90"/>
      <c r="Q10" s="90"/>
      <c r="R10" s="185"/>
      <c r="T10" s="192"/>
    </row>
    <row r="11" spans="1:21" s="69" customFormat="1" ht="15" customHeight="1">
      <c r="A11" s="221"/>
      <c r="B11" s="222"/>
      <c r="C11" s="420" t="s">
        <v>170</v>
      </c>
      <c r="D11" s="420"/>
      <c r="E11" s="420"/>
      <c r="F11" s="420"/>
      <c r="G11" s="420"/>
      <c r="H11" s="223"/>
      <c r="I11" s="83"/>
      <c r="J11" s="188"/>
      <c r="K11" s="230"/>
      <c r="N11" s="90"/>
      <c r="Q11" s="90"/>
      <c r="R11" s="185"/>
      <c r="S11" s="185"/>
      <c r="U11" s="192"/>
    </row>
    <row r="12" spans="1:21" s="69" customFormat="1" ht="24" customHeight="1">
      <c r="B12" s="219"/>
      <c r="C12" s="295" t="s">
        <v>171</v>
      </c>
      <c r="D12" s="296"/>
      <c r="E12" s="296"/>
      <c r="F12" s="297"/>
      <c r="G12" s="296"/>
      <c r="H12" s="82"/>
      <c r="I12" s="224"/>
      <c r="J12" s="188"/>
      <c r="K12" s="230"/>
      <c r="L12" s="69">
        <v>25880</v>
      </c>
      <c r="N12" s="90"/>
      <c r="Q12" s="90"/>
      <c r="R12" s="185"/>
      <c r="S12" s="185"/>
      <c r="U12" s="192"/>
    </row>
    <row r="13" spans="1:21" s="69" customFormat="1" ht="15" customHeight="1">
      <c r="B13" s="219"/>
      <c r="C13" s="298" t="s">
        <v>172</v>
      </c>
      <c r="D13" s="293"/>
      <c r="E13" s="293"/>
      <c r="F13" s="294"/>
      <c r="G13" s="293"/>
      <c r="H13" s="82"/>
      <c r="I13" s="83"/>
      <c r="J13" s="188"/>
      <c r="K13" s="230"/>
      <c r="N13" s="90"/>
      <c r="Q13" s="90"/>
      <c r="R13" s="185"/>
      <c r="S13" s="185"/>
      <c r="U13" s="192"/>
    </row>
    <row r="14" spans="1:21" s="69" customFormat="1" ht="27" customHeight="1">
      <c r="B14" s="219"/>
      <c r="C14" s="295" t="s">
        <v>173</v>
      </c>
      <c r="D14" s="68" t="s">
        <v>174</v>
      </c>
      <c r="E14" s="293"/>
      <c r="F14" s="294"/>
      <c r="G14" s="293"/>
      <c r="H14" s="251"/>
      <c r="I14" s="236"/>
      <c r="J14" s="188"/>
      <c r="K14" s="230"/>
      <c r="N14" s="90"/>
      <c r="Q14" s="92"/>
      <c r="R14" s="185"/>
      <c r="S14" s="185"/>
      <c r="U14" s="192"/>
    </row>
    <row r="15" spans="1:21" s="69" customFormat="1" ht="27" customHeight="1">
      <c r="B15" s="219"/>
      <c r="C15" s="417" t="s">
        <v>28</v>
      </c>
      <c r="D15" s="417"/>
      <c r="E15" s="417"/>
      <c r="F15" s="417"/>
      <c r="G15" s="417"/>
      <c r="H15" s="251"/>
      <c r="I15" s="236"/>
      <c r="J15" s="188"/>
      <c r="K15" s="230"/>
      <c r="N15" s="90"/>
      <c r="Q15" s="92"/>
      <c r="R15" s="185"/>
      <c r="S15" s="185"/>
      <c r="U15" s="192"/>
    </row>
    <row r="16" spans="1:21" s="69" customFormat="1" ht="12.75">
      <c r="B16" s="219"/>
      <c r="C16" s="124" t="s">
        <v>83</v>
      </c>
      <c r="E16" s="228"/>
      <c r="F16" s="207"/>
      <c r="G16" s="82"/>
      <c r="H16" s="82">
        <v>25844</v>
      </c>
      <c r="I16" s="237"/>
      <c r="J16" s="188"/>
      <c r="K16" s="230"/>
      <c r="N16" s="90"/>
      <c r="Q16" s="90"/>
      <c r="R16" s="185"/>
      <c r="S16" s="185"/>
      <c r="U16" s="192"/>
    </row>
    <row r="17" spans="1:24" s="69" customFormat="1" ht="3.75" customHeight="1">
      <c r="B17" s="219"/>
      <c r="C17" s="124"/>
      <c r="E17" s="228"/>
      <c r="F17" s="207"/>
      <c r="G17" s="82"/>
      <c r="H17" s="82"/>
      <c r="I17" s="83"/>
      <c r="J17" s="188"/>
      <c r="K17" s="230"/>
      <c r="N17" s="90"/>
      <c r="Q17" s="90"/>
      <c r="R17" s="185"/>
      <c r="S17" s="185"/>
      <c r="U17" s="192"/>
    </row>
    <row r="18" spans="1:24" s="268" customFormat="1" ht="30" customHeight="1" thickBot="1">
      <c r="A18" s="261" t="s">
        <v>6</v>
      </c>
      <c r="B18" s="182" t="s">
        <v>95</v>
      </c>
      <c r="C18" s="182" t="s">
        <v>29</v>
      </c>
      <c r="D18" s="261" t="s">
        <v>30</v>
      </c>
      <c r="E18" s="182" t="s">
        <v>4</v>
      </c>
      <c r="F18" s="238" t="s">
        <v>31</v>
      </c>
      <c r="G18" s="238" t="s">
        <v>32</v>
      </c>
      <c r="H18" s="182" t="s">
        <v>46</v>
      </c>
      <c r="I18" s="375" t="s">
        <v>9</v>
      </c>
      <c r="J18" s="262" t="s">
        <v>142</v>
      </c>
      <c r="K18" s="262" t="s">
        <v>141</v>
      </c>
      <c r="L18" s="182" t="s">
        <v>41</v>
      </c>
      <c r="M18" s="182" t="s">
        <v>42</v>
      </c>
      <c r="N18" s="263" t="s">
        <v>40</v>
      </c>
      <c r="O18" s="182" t="s">
        <v>43</v>
      </c>
      <c r="P18" s="182" t="s">
        <v>44</v>
      </c>
      <c r="Q18" s="263" t="s">
        <v>45</v>
      </c>
      <c r="R18" s="264" t="s">
        <v>59</v>
      </c>
      <c r="S18" s="264" t="s">
        <v>126</v>
      </c>
      <c r="T18" s="265" t="s">
        <v>100</v>
      </c>
      <c r="U18" s="266" t="s">
        <v>101</v>
      </c>
      <c r="V18" s="267" t="s">
        <v>102</v>
      </c>
    </row>
    <row r="19" spans="1:24" s="217" customFormat="1" ht="49.5" customHeight="1" thickBot="1">
      <c r="A19" s="254">
        <v>1</v>
      </c>
      <c r="B19" s="400" t="s">
        <v>305</v>
      </c>
      <c r="C19" s="356" t="s">
        <v>192</v>
      </c>
      <c r="D19" s="369" t="s">
        <v>143</v>
      </c>
      <c r="E19" s="365">
        <v>20000</v>
      </c>
      <c r="F19" s="370">
        <v>9.4E-2</v>
      </c>
      <c r="G19" s="371">
        <f t="shared" ref="G19:G82" si="0">E19*F19</f>
        <v>1880</v>
      </c>
      <c r="H19" s="373" t="s">
        <v>97</v>
      </c>
      <c r="I19" s="364">
        <v>63071090</v>
      </c>
      <c r="J19" s="376">
        <f t="shared" ref="J19:J141" si="1">F19*$L$12</f>
        <v>2432.7199999999998</v>
      </c>
      <c r="K19" s="365">
        <v>2500</v>
      </c>
      <c r="L19" s="377">
        <f t="shared" ref="L19:L141" si="2">G19*$L$12</f>
        <v>48654400</v>
      </c>
      <c r="M19" s="380">
        <v>0</v>
      </c>
      <c r="N19" s="378">
        <f>M19*L19</f>
        <v>0</v>
      </c>
      <c r="O19" s="382">
        <f>L19+N19</f>
        <v>48654400</v>
      </c>
      <c r="P19" s="380">
        <v>0.08</v>
      </c>
      <c r="Q19" s="378">
        <f>O19*P19</f>
        <v>3892352</v>
      </c>
      <c r="R19" s="214">
        <v>115</v>
      </c>
      <c r="S19" s="214">
        <f t="shared" ref="S19:S44" si="3">G19/R19</f>
        <v>16.347826086956523</v>
      </c>
      <c r="T19" s="215">
        <f t="shared" ref="T19:T44" si="4">L19</f>
        <v>48654400</v>
      </c>
      <c r="U19" s="216">
        <v>0</v>
      </c>
      <c r="V19" s="213">
        <f t="shared" ref="V19:V25" si="5">T19*U19</f>
        <v>0</v>
      </c>
      <c r="W19" s="339">
        <v>1634</v>
      </c>
      <c r="X19" s="353">
        <f>G19-W19</f>
        <v>246</v>
      </c>
    </row>
    <row r="20" spans="1:24" s="217" customFormat="1" ht="49.5" customHeight="1" thickBot="1">
      <c r="A20" s="254">
        <v>2</v>
      </c>
      <c r="B20" s="432" t="s">
        <v>306</v>
      </c>
      <c r="C20" s="357" t="s">
        <v>193</v>
      </c>
      <c r="D20" s="369" t="s">
        <v>154</v>
      </c>
      <c r="E20" s="364">
        <v>20</v>
      </c>
      <c r="F20" s="370">
        <v>5.16</v>
      </c>
      <c r="G20" s="371">
        <f t="shared" si="0"/>
        <v>103.2</v>
      </c>
      <c r="H20" s="373"/>
      <c r="I20" s="364">
        <v>69120000</v>
      </c>
      <c r="J20" s="376">
        <f t="shared" si="1"/>
        <v>133540.80000000002</v>
      </c>
      <c r="K20" s="365">
        <v>136880</v>
      </c>
      <c r="L20" s="377">
        <f t="shared" si="2"/>
        <v>2670816</v>
      </c>
      <c r="M20" s="380">
        <v>0</v>
      </c>
      <c r="N20" s="378">
        <f t="shared" ref="N20:N83" si="6">M20*L20</f>
        <v>0</v>
      </c>
      <c r="O20" s="382">
        <f t="shared" ref="O20:O83" si="7">L20+N20</f>
        <v>2670816</v>
      </c>
      <c r="P20" s="380">
        <v>0.08</v>
      </c>
      <c r="Q20" s="378">
        <f t="shared" ref="Q20:Q83" si="8">O20*P20</f>
        <v>213665.28</v>
      </c>
      <c r="R20" s="214">
        <v>116</v>
      </c>
      <c r="S20" s="214">
        <f t="shared" si="3"/>
        <v>0.8896551724137931</v>
      </c>
      <c r="T20" s="215">
        <f t="shared" si="4"/>
        <v>2670816</v>
      </c>
      <c r="U20" s="216">
        <v>0</v>
      </c>
      <c r="V20" s="213">
        <f t="shared" si="5"/>
        <v>0</v>
      </c>
      <c r="W20" s="341">
        <v>360</v>
      </c>
      <c r="X20" s="353">
        <f t="shared" ref="X20:X83" si="9">G20-W20</f>
        <v>-256.8</v>
      </c>
    </row>
    <row r="21" spans="1:24" s="217" customFormat="1" ht="49.5" customHeight="1" thickBot="1">
      <c r="A21" s="254">
        <v>3</v>
      </c>
      <c r="B21" s="432"/>
      <c r="C21" s="357" t="s">
        <v>194</v>
      </c>
      <c r="D21" s="369" t="s">
        <v>154</v>
      </c>
      <c r="E21" s="364">
        <v>20</v>
      </c>
      <c r="F21" s="370">
        <v>4.09</v>
      </c>
      <c r="G21" s="371">
        <f t="shared" si="0"/>
        <v>81.8</v>
      </c>
      <c r="H21" s="373"/>
      <c r="I21" s="364">
        <v>69120000</v>
      </c>
      <c r="J21" s="376">
        <f t="shared" si="1"/>
        <v>105849.2</v>
      </c>
      <c r="K21" s="365">
        <v>108560</v>
      </c>
      <c r="L21" s="377">
        <f t="shared" si="2"/>
        <v>2116984</v>
      </c>
      <c r="M21" s="380">
        <v>0</v>
      </c>
      <c r="N21" s="378">
        <f t="shared" si="6"/>
        <v>0</v>
      </c>
      <c r="O21" s="382">
        <f t="shared" si="7"/>
        <v>2116984</v>
      </c>
      <c r="P21" s="380">
        <v>0.08</v>
      </c>
      <c r="Q21" s="378">
        <f t="shared" si="8"/>
        <v>169358.72</v>
      </c>
      <c r="R21" s="214">
        <v>117</v>
      </c>
      <c r="S21" s="214">
        <f t="shared" si="3"/>
        <v>0.6991452991452991</v>
      </c>
      <c r="T21" s="215">
        <f t="shared" si="4"/>
        <v>2116984</v>
      </c>
      <c r="U21" s="216">
        <v>0</v>
      </c>
      <c r="V21" s="213">
        <f t="shared" si="5"/>
        <v>0</v>
      </c>
      <c r="W21" s="341">
        <v>1117.8</v>
      </c>
      <c r="X21" s="353">
        <f t="shared" si="9"/>
        <v>-1036</v>
      </c>
    </row>
    <row r="22" spans="1:24" s="217" customFormat="1" ht="49.5" customHeight="1" thickBot="1">
      <c r="A22" s="254">
        <v>4</v>
      </c>
      <c r="B22" s="432"/>
      <c r="C22" s="357" t="s">
        <v>195</v>
      </c>
      <c r="D22" s="369" t="s">
        <v>154</v>
      </c>
      <c r="E22" s="364">
        <v>50</v>
      </c>
      <c r="F22" s="370">
        <v>5.69</v>
      </c>
      <c r="G22" s="371">
        <f t="shared" si="0"/>
        <v>284.5</v>
      </c>
      <c r="H22" s="373"/>
      <c r="I22" s="364">
        <v>69120000</v>
      </c>
      <c r="J22" s="376">
        <f t="shared" si="1"/>
        <v>147257.20000000001</v>
      </c>
      <c r="K22" s="365">
        <v>151040</v>
      </c>
      <c r="L22" s="377">
        <f t="shared" si="2"/>
        <v>7362860</v>
      </c>
      <c r="M22" s="380">
        <v>0</v>
      </c>
      <c r="N22" s="378">
        <f t="shared" si="6"/>
        <v>0</v>
      </c>
      <c r="O22" s="382">
        <f t="shared" si="7"/>
        <v>7362860</v>
      </c>
      <c r="P22" s="380">
        <v>0.08</v>
      </c>
      <c r="Q22" s="378">
        <f t="shared" si="8"/>
        <v>589028.80000000005</v>
      </c>
      <c r="R22" s="214">
        <v>118</v>
      </c>
      <c r="S22" s="214">
        <f t="shared" si="3"/>
        <v>2.4110169491525424</v>
      </c>
      <c r="T22" s="215">
        <f t="shared" si="4"/>
        <v>7362860</v>
      </c>
      <c r="U22" s="216">
        <v>0</v>
      </c>
      <c r="V22" s="213">
        <f t="shared" si="5"/>
        <v>0</v>
      </c>
      <c r="W22" s="341">
        <v>297.2</v>
      </c>
      <c r="X22" s="353">
        <f t="shared" si="9"/>
        <v>-12.699999999999989</v>
      </c>
    </row>
    <row r="23" spans="1:24" s="217" customFormat="1" ht="49.5" customHeight="1" thickBot="1">
      <c r="A23" s="254">
        <v>5</v>
      </c>
      <c r="B23" s="432" t="s">
        <v>307</v>
      </c>
      <c r="C23" s="358" t="s">
        <v>196</v>
      </c>
      <c r="D23" s="369" t="s">
        <v>143</v>
      </c>
      <c r="E23" s="364">
        <v>10</v>
      </c>
      <c r="F23" s="370">
        <v>13.6</v>
      </c>
      <c r="G23" s="371">
        <f t="shared" si="0"/>
        <v>136</v>
      </c>
      <c r="H23" s="373"/>
      <c r="I23" s="364">
        <v>69120000</v>
      </c>
      <c r="J23" s="376">
        <f t="shared" si="1"/>
        <v>351968</v>
      </c>
      <c r="K23" s="365">
        <v>360797</v>
      </c>
      <c r="L23" s="377">
        <f t="shared" si="2"/>
        <v>3519680</v>
      </c>
      <c r="M23" s="380">
        <v>0</v>
      </c>
      <c r="N23" s="378">
        <f t="shared" si="6"/>
        <v>0</v>
      </c>
      <c r="O23" s="382">
        <f t="shared" si="7"/>
        <v>3519680</v>
      </c>
      <c r="P23" s="380">
        <v>0.08</v>
      </c>
      <c r="Q23" s="378">
        <f t="shared" si="8"/>
        <v>281574.40000000002</v>
      </c>
      <c r="R23" s="214">
        <v>119</v>
      </c>
      <c r="S23" s="214">
        <f t="shared" si="3"/>
        <v>1.1428571428571428</v>
      </c>
      <c r="T23" s="215">
        <f t="shared" si="4"/>
        <v>3519680</v>
      </c>
      <c r="U23" s="216">
        <v>0</v>
      </c>
      <c r="V23" s="213">
        <f t="shared" si="5"/>
        <v>0</v>
      </c>
      <c r="W23" s="341">
        <v>393</v>
      </c>
      <c r="X23" s="353">
        <f t="shared" si="9"/>
        <v>-257</v>
      </c>
    </row>
    <row r="24" spans="1:24" s="217" customFormat="1" ht="49.5" customHeight="1" thickBot="1">
      <c r="A24" s="254">
        <v>6</v>
      </c>
      <c r="B24" s="432"/>
      <c r="C24" s="358" t="s">
        <v>197</v>
      </c>
      <c r="D24" s="369" t="s">
        <v>143</v>
      </c>
      <c r="E24" s="364">
        <v>15</v>
      </c>
      <c r="F24" s="370">
        <v>10.46</v>
      </c>
      <c r="G24" s="371">
        <f t="shared" si="0"/>
        <v>156.9</v>
      </c>
      <c r="H24" s="373"/>
      <c r="I24" s="364">
        <v>69120000</v>
      </c>
      <c r="J24" s="376">
        <f t="shared" si="1"/>
        <v>270704.80000000005</v>
      </c>
      <c r="K24" s="365">
        <v>277536</v>
      </c>
      <c r="L24" s="377">
        <f t="shared" si="2"/>
        <v>4060572</v>
      </c>
      <c r="M24" s="380">
        <v>0</v>
      </c>
      <c r="N24" s="378">
        <f t="shared" si="6"/>
        <v>0</v>
      </c>
      <c r="O24" s="382">
        <f t="shared" si="7"/>
        <v>4060572</v>
      </c>
      <c r="P24" s="380">
        <v>0.08</v>
      </c>
      <c r="Q24" s="378">
        <f t="shared" si="8"/>
        <v>324845.76</v>
      </c>
      <c r="R24" s="214">
        <v>120</v>
      </c>
      <c r="S24" s="214">
        <f t="shared" si="3"/>
        <v>1.3075000000000001</v>
      </c>
      <c r="T24" s="215">
        <f t="shared" si="4"/>
        <v>4060572</v>
      </c>
      <c r="U24" s="216">
        <v>0</v>
      </c>
      <c r="V24" s="213">
        <f t="shared" si="5"/>
        <v>0</v>
      </c>
      <c r="W24" s="341">
        <v>1038.2</v>
      </c>
      <c r="X24" s="353">
        <f t="shared" si="9"/>
        <v>-881.30000000000007</v>
      </c>
    </row>
    <row r="25" spans="1:24" s="217" customFormat="1" ht="49.5" customHeight="1" thickBot="1">
      <c r="A25" s="254">
        <v>7</v>
      </c>
      <c r="B25" s="432"/>
      <c r="C25" s="358" t="s">
        <v>198</v>
      </c>
      <c r="D25" s="369" t="s">
        <v>143</v>
      </c>
      <c r="E25" s="364">
        <v>20</v>
      </c>
      <c r="F25" s="370">
        <v>4.49</v>
      </c>
      <c r="G25" s="371">
        <f t="shared" si="0"/>
        <v>89.800000000000011</v>
      </c>
      <c r="H25" s="373"/>
      <c r="I25" s="364">
        <v>69120000</v>
      </c>
      <c r="J25" s="376">
        <f t="shared" si="1"/>
        <v>116201.20000000001</v>
      </c>
      <c r="K25" s="365">
        <v>119227</v>
      </c>
      <c r="L25" s="377">
        <f t="shared" si="2"/>
        <v>2324024.0000000005</v>
      </c>
      <c r="M25" s="380">
        <v>0</v>
      </c>
      <c r="N25" s="378">
        <f t="shared" si="6"/>
        <v>0</v>
      </c>
      <c r="O25" s="382">
        <f t="shared" si="7"/>
        <v>2324024.0000000005</v>
      </c>
      <c r="P25" s="380">
        <v>0.08</v>
      </c>
      <c r="Q25" s="378">
        <f t="shared" si="8"/>
        <v>185921.92000000004</v>
      </c>
      <c r="R25" s="214">
        <v>121</v>
      </c>
      <c r="S25" s="214">
        <f t="shared" si="3"/>
        <v>0.74214876033057864</v>
      </c>
      <c r="T25" s="215">
        <f t="shared" si="4"/>
        <v>2324024.0000000005</v>
      </c>
      <c r="U25" s="216">
        <v>0</v>
      </c>
      <c r="V25" s="213">
        <f t="shared" si="5"/>
        <v>0</v>
      </c>
      <c r="W25" s="341">
        <v>802.2</v>
      </c>
      <c r="X25" s="353">
        <f t="shared" si="9"/>
        <v>-712.40000000000009</v>
      </c>
    </row>
    <row r="26" spans="1:24" s="217" customFormat="1" ht="49.5" customHeight="1" thickBot="1">
      <c r="A26" s="254">
        <v>8</v>
      </c>
      <c r="B26" s="432"/>
      <c r="C26" s="358" t="s">
        <v>199</v>
      </c>
      <c r="D26" s="369" t="s">
        <v>143</v>
      </c>
      <c r="E26" s="364">
        <v>10</v>
      </c>
      <c r="F26" s="370">
        <v>16.739999999999998</v>
      </c>
      <c r="G26" s="371">
        <f t="shared" si="0"/>
        <v>167.39999999999998</v>
      </c>
      <c r="H26" s="373"/>
      <c r="I26" s="364">
        <v>69120000</v>
      </c>
      <c r="J26" s="376">
        <f t="shared" si="1"/>
        <v>433231.19999999995</v>
      </c>
      <c r="K26" s="365">
        <v>444058</v>
      </c>
      <c r="L26" s="377">
        <f t="shared" si="2"/>
        <v>4332311.9999999991</v>
      </c>
      <c r="M26" s="380">
        <v>0</v>
      </c>
      <c r="N26" s="378">
        <f t="shared" si="6"/>
        <v>0</v>
      </c>
      <c r="O26" s="382">
        <f t="shared" si="7"/>
        <v>4332311.9999999991</v>
      </c>
      <c r="P26" s="380">
        <v>0.08</v>
      </c>
      <c r="Q26" s="378">
        <f t="shared" si="8"/>
        <v>346584.9599999999</v>
      </c>
      <c r="R26" s="214">
        <v>122</v>
      </c>
      <c r="S26" s="214">
        <f t="shared" si="3"/>
        <v>1.3721311475409834</v>
      </c>
      <c r="T26" s="215">
        <f t="shared" si="4"/>
        <v>4332311.9999999991</v>
      </c>
      <c r="U26" s="216">
        <v>0</v>
      </c>
      <c r="V26" s="213">
        <f t="shared" ref="V26:V44" si="10">T26*U26</f>
        <v>0</v>
      </c>
      <c r="W26" s="341">
        <v>651.6</v>
      </c>
      <c r="X26" s="353">
        <f t="shared" si="9"/>
        <v>-484.20000000000005</v>
      </c>
    </row>
    <row r="27" spans="1:24" s="217" customFormat="1" ht="49.5" customHeight="1" thickBot="1">
      <c r="A27" s="254">
        <v>9</v>
      </c>
      <c r="B27" s="432"/>
      <c r="C27" s="358" t="s">
        <v>200</v>
      </c>
      <c r="D27" s="369" t="s">
        <v>143</v>
      </c>
      <c r="E27" s="364">
        <v>5</v>
      </c>
      <c r="F27" s="370">
        <v>15.69</v>
      </c>
      <c r="G27" s="371">
        <f t="shared" si="0"/>
        <v>78.45</v>
      </c>
      <c r="H27" s="373"/>
      <c r="I27" s="364">
        <v>69120000</v>
      </c>
      <c r="J27" s="376">
        <f t="shared" si="1"/>
        <v>406057.2</v>
      </c>
      <c r="K27" s="365">
        <v>416304</v>
      </c>
      <c r="L27" s="377">
        <f t="shared" si="2"/>
        <v>2030286</v>
      </c>
      <c r="M27" s="380">
        <v>0</v>
      </c>
      <c r="N27" s="378">
        <f t="shared" si="6"/>
        <v>0</v>
      </c>
      <c r="O27" s="382">
        <f t="shared" si="7"/>
        <v>2030286</v>
      </c>
      <c r="P27" s="380">
        <v>0.08</v>
      </c>
      <c r="Q27" s="378">
        <f t="shared" si="8"/>
        <v>162422.88</v>
      </c>
      <c r="R27" s="214">
        <v>123</v>
      </c>
      <c r="S27" s="214">
        <f t="shared" si="3"/>
        <v>0.6378048780487805</v>
      </c>
      <c r="T27" s="215">
        <f t="shared" si="4"/>
        <v>2030286</v>
      </c>
      <c r="U27" s="216">
        <v>0</v>
      </c>
      <c r="V27" s="213">
        <f t="shared" si="10"/>
        <v>0</v>
      </c>
      <c r="W27" s="341">
        <v>937.5</v>
      </c>
      <c r="X27" s="353">
        <f t="shared" si="9"/>
        <v>-859.05</v>
      </c>
    </row>
    <row r="28" spans="1:24" s="217" customFormat="1" ht="49.5" customHeight="1" thickBot="1">
      <c r="A28" s="254">
        <v>10</v>
      </c>
      <c r="B28" s="432"/>
      <c r="C28" s="359" t="s">
        <v>201</v>
      </c>
      <c r="D28" s="369" t="s">
        <v>143</v>
      </c>
      <c r="E28" s="364">
        <v>10</v>
      </c>
      <c r="F28" s="370">
        <v>17.09</v>
      </c>
      <c r="G28" s="371">
        <f t="shared" si="0"/>
        <v>170.9</v>
      </c>
      <c r="H28" s="373"/>
      <c r="I28" s="364">
        <v>69120000</v>
      </c>
      <c r="J28" s="376">
        <f t="shared" si="1"/>
        <v>442289.2</v>
      </c>
      <c r="K28" s="365">
        <v>453309</v>
      </c>
      <c r="L28" s="377">
        <f t="shared" si="2"/>
        <v>4422892</v>
      </c>
      <c r="M28" s="380">
        <v>0</v>
      </c>
      <c r="N28" s="378">
        <f t="shared" si="6"/>
        <v>0</v>
      </c>
      <c r="O28" s="382">
        <f t="shared" si="7"/>
        <v>4422892</v>
      </c>
      <c r="P28" s="380">
        <v>0.08</v>
      </c>
      <c r="Q28" s="378">
        <f t="shared" si="8"/>
        <v>353831.36</v>
      </c>
      <c r="R28" s="214">
        <v>124</v>
      </c>
      <c r="S28" s="214">
        <f t="shared" si="3"/>
        <v>1.3782258064516129</v>
      </c>
      <c r="T28" s="215">
        <f t="shared" si="4"/>
        <v>4422892</v>
      </c>
      <c r="U28" s="216">
        <v>0</v>
      </c>
      <c r="V28" s="213">
        <f t="shared" si="10"/>
        <v>0</v>
      </c>
      <c r="W28" s="341">
        <v>10912</v>
      </c>
      <c r="X28" s="353">
        <f t="shared" si="9"/>
        <v>-10741.1</v>
      </c>
    </row>
    <row r="29" spans="1:24" s="217" customFormat="1" ht="49.5" customHeight="1" thickBot="1">
      <c r="A29" s="254">
        <v>11</v>
      </c>
      <c r="B29" s="432"/>
      <c r="C29" s="358" t="s">
        <v>202</v>
      </c>
      <c r="D29" s="369" t="s">
        <v>143</v>
      </c>
      <c r="E29" s="364">
        <v>10</v>
      </c>
      <c r="F29" s="370">
        <v>14.47</v>
      </c>
      <c r="G29" s="371">
        <f t="shared" si="0"/>
        <v>144.70000000000002</v>
      </c>
      <c r="H29" s="373"/>
      <c r="I29" s="364">
        <v>69120000</v>
      </c>
      <c r="J29" s="376">
        <f t="shared" si="1"/>
        <v>374483.60000000003</v>
      </c>
      <c r="K29" s="365">
        <v>383925</v>
      </c>
      <c r="L29" s="377">
        <f t="shared" si="2"/>
        <v>3744836.0000000005</v>
      </c>
      <c r="M29" s="380">
        <v>0</v>
      </c>
      <c r="N29" s="378">
        <f t="shared" si="6"/>
        <v>0</v>
      </c>
      <c r="O29" s="382">
        <f t="shared" si="7"/>
        <v>3744836.0000000005</v>
      </c>
      <c r="P29" s="380">
        <v>0.08</v>
      </c>
      <c r="Q29" s="378">
        <f t="shared" si="8"/>
        <v>299586.88000000006</v>
      </c>
      <c r="R29" s="214">
        <v>125</v>
      </c>
      <c r="S29" s="214">
        <f t="shared" si="3"/>
        <v>1.1576000000000002</v>
      </c>
      <c r="T29" s="215">
        <f t="shared" si="4"/>
        <v>3744836.0000000005</v>
      </c>
      <c r="U29" s="216">
        <v>0</v>
      </c>
      <c r="V29" s="213">
        <f t="shared" si="10"/>
        <v>0</v>
      </c>
      <c r="W29" s="341">
        <v>3017.5</v>
      </c>
      <c r="X29" s="353">
        <f t="shared" si="9"/>
        <v>-2872.8</v>
      </c>
    </row>
    <row r="30" spans="1:24" s="217" customFormat="1" ht="49.5" customHeight="1" thickBot="1">
      <c r="A30" s="254">
        <v>12</v>
      </c>
      <c r="B30" s="432" t="s">
        <v>308</v>
      </c>
      <c r="C30" s="358" t="s">
        <v>203</v>
      </c>
      <c r="D30" s="369" t="s">
        <v>143</v>
      </c>
      <c r="E30" s="364">
        <v>3</v>
      </c>
      <c r="F30" s="370">
        <v>20.46</v>
      </c>
      <c r="G30" s="371">
        <f t="shared" si="0"/>
        <v>61.38</v>
      </c>
      <c r="H30" s="373"/>
      <c r="I30" s="364">
        <v>69120000</v>
      </c>
      <c r="J30" s="376">
        <f t="shared" si="1"/>
        <v>529504.80000000005</v>
      </c>
      <c r="K30" s="365">
        <v>542800</v>
      </c>
      <c r="L30" s="377">
        <f t="shared" si="2"/>
        <v>1588514.4000000001</v>
      </c>
      <c r="M30" s="380">
        <v>0</v>
      </c>
      <c r="N30" s="378">
        <f t="shared" si="6"/>
        <v>0</v>
      </c>
      <c r="O30" s="382">
        <f t="shared" si="7"/>
        <v>1588514.4000000001</v>
      </c>
      <c r="P30" s="380">
        <v>0.08</v>
      </c>
      <c r="Q30" s="378">
        <f t="shared" si="8"/>
        <v>127081.15200000002</v>
      </c>
      <c r="R30" s="214">
        <v>126</v>
      </c>
      <c r="S30" s="214">
        <f t="shared" si="3"/>
        <v>0.48714285714285716</v>
      </c>
      <c r="T30" s="215">
        <f t="shared" si="4"/>
        <v>1588514.4000000001</v>
      </c>
      <c r="U30" s="216">
        <v>0</v>
      </c>
      <c r="V30" s="213">
        <f t="shared" si="10"/>
        <v>0</v>
      </c>
      <c r="W30" s="341">
        <v>300</v>
      </c>
      <c r="X30" s="353">
        <f t="shared" si="9"/>
        <v>-238.62</v>
      </c>
    </row>
    <row r="31" spans="1:24" s="217" customFormat="1" ht="49.5" customHeight="1" thickBot="1">
      <c r="A31" s="254">
        <v>13</v>
      </c>
      <c r="B31" s="432"/>
      <c r="C31" s="358" t="s">
        <v>204</v>
      </c>
      <c r="D31" s="369" t="s">
        <v>143</v>
      </c>
      <c r="E31" s="364">
        <v>3</v>
      </c>
      <c r="F31" s="370">
        <v>28.47</v>
      </c>
      <c r="G31" s="371">
        <f t="shared" si="0"/>
        <v>85.41</v>
      </c>
      <c r="H31" s="373"/>
      <c r="I31" s="364">
        <v>69120000</v>
      </c>
      <c r="J31" s="376">
        <f t="shared" si="1"/>
        <v>736803.6</v>
      </c>
      <c r="K31" s="365">
        <v>755200</v>
      </c>
      <c r="L31" s="377">
        <f t="shared" si="2"/>
        <v>2210410.7999999998</v>
      </c>
      <c r="M31" s="380">
        <v>0</v>
      </c>
      <c r="N31" s="378">
        <f t="shared" si="6"/>
        <v>0</v>
      </c>
      <c r="O31" s="382">
        <f t="shared" si="7"/>
        <v>2210410.7999999998</v>
      </c>
      <c r="P31" s="380">
        <v>0.08</v>
      </c>
      <c r="Q31" s="378">
        <f t="shared" si="8"/>
        <v>176832.864</v>
      </c>
      <c r="R31" s="214">
        <v>127</v>
      </c>
      <c r="S31" s="214">
        <f t="shared" si="3"/>
        <v>0.6725196850393701</v>
      </c>
      <c r="T31" s="215">
        <f t="shared" si="4"/>
        <v>2210410.7999999998</v>
      </c>
      <c r="U31" s="216">
        <v>0</v>
      </c>
      <c r="V31" s="213">
        <f t="shared" si="10"/>
        <v>0</v>
      </c>
      <c r="W31" s="341">
        <v>448</v>
      </c>
      <c r="X31" s="353">
        <f t="shared" si="9"/>
        <v>-362.59000000000003</v>
      </c>
    </row>
    <row r="32" spans="1:24" s="217" customFormat="1" ht="49.5" customHeight="1" thickBot="1">
      <c r="A32" s="254">
        <v>14</v>
      </c>
      <c r="B32" s="432"/>
      <c r="C32" s="358" t="s">
        <v>205</v>
      </c>
      <c r="D32" s="369" t="s">
        <v>143</v>
      </c>
      <c r="E32" s="364">
        <v>5</v>
      </c>
      <c r="F32" s="370">
        <v>39.15</v>
      </c>
      <c r="G32" s="371">
        <f t="shared" si="0"/>
        <v>195.75</v>
      </c>
      <c r="H32" s="373"/>
      <c r="I32" s="364">
        <v>69120000</v>
      </c>
      <c r="J32" s="376">
        <f t="shared" si="1"/>
        <v>1013202</v>
      </c>
      <c r="K32" s="365">
        <v>1038400</v>
      </c>
      <c r="L32" s="377">
        <f t="shared" si="2"/>
        <v>5066010</v>
      </c>
      <c r="M32" s="380">
        <v>0</v>
      </c>
      <c r="N32" s="378">
        <f t="shared" si="6"/>
        <v>0</v>
      </c>
      <c r="O32" s="382">
        <f t="shared" si="7"/>
        <v>5066010</v>
      </c>
      <c r="P32" s="380">
        <v>0.08</v>
      </c>
      <c r="Q32" s="378">
        <f t="shared" si="8"/>
        <v>405280.8</v>
      </c>
      <c r="R32" s="214">
        <v>128</v>
      </c>
      <c r="S32" s="214">
        <f t="shared" si="3"/>
        <v>1.529296875</v>
      </c>
      <c r="T32" s="215">
        <f t="shared" si="4"/>
        <v>5066010</v>
      </c>
      <c r="U32" s="216">
        <v>0</v>
      </c>
      <c r="V32" s="213">
        <f t="shared" si="10"/>
        <v>0</v>
      </c>
      <c r="W32" s="341">
        <v>240</v>
      </c>
      <c r="X32" s="353">
        <f t="shared" si="9"/>
        <v>-44.25</v>
      </c>
    </row>
    <row r="33" spans="1:24" s="217" customFormat="1" ht="49.5" customHeight="1" thickBot="1">
      <c r="A33" s="254">
        <v>15</v>
      </c>
      <c r="B33" s="432"/>
      <c r="C33" s="358" t="s">
        <v>206</v>
      </c>
      <c r="D33" s="369" t="s">
        <v>143</v>
      </c>
      <c r="E33" s="364">
        <v>5</v>
      </c>
      <c r="F33" s="370">
        <v>26.69</v>
      </c>
      <c r="G33" s="371">
        <f t="shared" si="0"/>
        <v>133.45000000000002</v>
      </c>
      <c r="H33" s="373"/>
      <c r="I33" s="364">
        <v>69120000</v>
      </c>
      <c r="J33" s="376">
        <f t="shared" si="1"/>
        <v>690737.20000000007</v>
      </c>
      <c r="K33" s="365">
        <v>708000</v>
      </c>
      <c r="L33" s="377">
        <f t="shared" si="2"/>
        <v>3453686.0000000005</v>
      </c>
      <c r="M33" s="380">
        <v>0</v>
      </c>
      <c r="N33" s="378">
        <f t="shared" si="6"/>
        <v>0</v>
      </c>
      <c r="O33" s="382">
        <f t="shared" si="7"/>
        <v>3453686.0000000005</v>
      </c>
      <c r="P33" s="380">
        <v>0.08</v>
      </c>
      <c r="Q33" s="378">
        <f t="shared" si="8"/>
        <v>276294.88000000006</v>
      </c>
      <c r="R33" s="214">
        <v>129</v>
      </c>
      <c r="S33" s="214">
        <f t="shared" si="3"/>
        <v>1.034496124031008</v>
      </c>
      <c r="T33" s="215">
        <f t="shared" si="4"/>
        <v>3453686.0000000005</v>
      </c>
      <c r="U33" s="216">
        <v>0</v>
      </c>
      <c r="V33" s="213">
        <f t="shared" si="10"/>
        <v>0</v>
      </c>
      <c r="W33" s="341">
        <v>217.8</v>
      </c>
      <c r="X33" s="353">
        <f t="shared" si="9"/>
        <v>-84.35</v>
      </c>
    </row>
    <row r="34" spans="1:24" s="217" customFormat="1" ht="49.5" customHeight="1" thickBot="1">
      <c r="A34" s="254">
        <v>16</v>
      </c>
      <c r="B34" s="432"/>
      <c r="C34" s="358" t="s">
        <v>207</v>
      </c>
      <c r="D34" s="369" t="s">
        <v>143</v>
      </c>
      <c r="E34" s="364">
        <v>5</v>
      </c>
      <c r="F34" s="370">
        <v>24.02</v>
      </c>
      <c r="G34" s="371">
        <f t="shared" si="0"/>
        <v>120.1</v>
      </c>
      <c r="H34" s="373"/>
      <c r="I34" s="364">
        <v>69120000</v>
      </c>
      <c r="J34" s="376">
        <f t="shared" si="1"/>
        <v>621637.6</v>
      </c>
      <c r="K34" s="365">
        <v>637200</v>
      </c>
      <c r="L34" s="377">
        <f t="shared" si="2"/>
        <v>3108188</v>
      </c>
      <c r="M34" s="380">
        <v>0</v>
      </c>
      <c r="N34" s="378">
        <f t="shared" si="6"/>
        <v>0</v>
      </c>
      <c r="O34" s="382">
        <f t="shared" si="7"/>
        <v>3108188</v>
      </c>
      <c r="P34" s="380">
        <v>0.08</v>
      </c>
      <c r="Q34" s="378">
        <f t="shared" si="8"/>
        <v>248655.04</v>
      </c>
      <c r="R34" s="214">
        <v>130</v>
      </c>
      <c r="S34" s="214">
        <f t="shared" si="3"/>
        <v>0.92384615384615376</v>
      </c>
      <c r="T34" s="215">
        <f t="shared" si="4"/>
        <v>3108188</v>
      </c>
      <c r="U34" s="216">
        <v>0</v>
      </c>
      <c r="V34" s="213">
        <f t="shared" si="10"/>
        <v>0</v>
      </c>
      <c r="W34" s="341">
        <v>3016</v>
      </c>
      <c r="X34" s="353">
        <f t="shared" si="9"/>
        <v>-2895.9</v>
      </c>
    </row>
    <row r="35" spans="1:24" s="217" customFormat="1" ht="49.5" customHeight="1" thickBot="1">
      <c r="A35" s="254">
        <v>17</v>
      </c>
      <c r="B35" s="432"/>
      <c r="C35" s="358" t="s">
        <v>208</v>
      </c>
      <c r="D35" s="369" t="s">
        <v>143</v>
      </c>
      <c r="E35" s="364">
        <v>5</v>
      </c>
      <c r="F35" s="370">
        <v>53.38</v>
      </c>
      <c r="G35" s="371">
        <f t="shared" si="0"/>
        <v>266.90000000000003</v>
      </c>
      <c r="H35" s="373"/>
      <c r="I35" s="364">
        <v>69120000</v>
      </c>
      <c r="J35" s="376">
        <f t="shared" si="1"/>
        <v>1381474.4000000001</v>
      </c>
      <c r="K35" s="365">
        <v>1416000</v>
      </c>
      <c r="L35" s="377">
        <f t="shared" si="2"/>
        <v>6907372.0000000009</v>
      </c>
      <c r="M35" s="380">
        <v>0</v>
      </c>
      <c r="N35" s="378">
        <f t="shared" si="6"/>
        <v>0</v>
      </c>
      <c r="O35" s="382">
        <f t="shared" si="7"/>
        <v>6907372.0000000009</v>
      </c>
      <c r="P35" s="380">
        <v>0.08</v>
      </c>
      <c r="Q35" s="378">
        <f t="shared" si="8"/>
        <v>552589.76000000013</v>
      </c>
      <c r="R35" s="214">
        <v>131</v>
      </c>
      <c r="S35" s="214">
        <f t="shared" si="3"/>
        <v>2.0374045801526721</v>
      </c>
      <c r="T35" s="215">
        <f t="shared" si="4"/>
        <v>6907372.0000000009</v>
      </c>
      <c r="U35" s="216">
        <v>0</v>
      </c>
      <c r="V35" s="213">
        <f t="shared" si="10"/>
        <v>0</v>
      </c>
      <c r="W35" s="341">
        <v>590.4</v>
      </c>
      <c r="X35" s="353">
        <f t="shared" si="9"/>
        <v>-323.49999999999994</v>
      </c>
    </row>
    <row r="36" spans="1:24" s="217" customFormat="1" ht="49.5" customHeight="1" thickBot="1">
      <c r="A36" s="254">
        <v>18</v>
      </c>
      <c r="B36" s="432"/>
      <c r="C36" s="358" t="s">
        <v>209</v>
      </c>
      <c r="D36" s="369" t="s">
        <v>143</v>
      </c>
      <c r="E36" s="364">
        <v>5</v>
      </c>
      <c r="F36" s="370">
        <v>29.89</v>
      </c>
      <c r="G36" s="371">
        <f t="shared" si="0"/>
        <v>149.44999999999999</v>
      </c>
      <c r="H36" s="373"/>
      <c r="I36" s="364">
        <v>69120000</v>
      </c>
      <c r="J36" s="376">
        <f t="shared" si="1"/>
        <v>773553.20000000007</v>
      </c>
      <c r="K36" s="365">
        <v>792960</v>
      </c>
      <c r="L36" s="377">
        <f t="shared" si="2"/>
        <v>3867765.9999999995</v>
      </c>
      <c r="M36" s="380">
        <v>0</v>
      </c>
      <c r="N36" s="378">
        <f t="shared" si="6"/>
        <v>0</v>
      </c>
      <c r="O36" s="382">
        <f t="shared" si="7"/>
        <v>3867765.9999999995</v>
      </c>
      <c r="P36" s="380">
        <v>0.08</v>
      </c>
      <c r="Q36" s="378">
        <f t="shared" si="8"/>
        <v>309421.27999999997</v>
      </c>
      <c r="R36" s="214">
        <v>132</v>
      </c>
      <c r="S36" s="214">
        <f t="shared" si="3"/>
        <v>1.1321969696969696</v>
      </c>
      <c r="T36" s="215">
        <f t="shared" si="4"/>
        <v>3867765.9999999995</v>
      </c>
      <c r="U36" s="216">
        <v>0</v>
      </c>
      <c r="V36" s="213">
        <f t="shared" si="10"/>
        <v>0</v>
      </c>
      <c r="W36" s="341">
        <v>932.8</v>
      </c>
      <c r="X36" s="353">
        <f t="shared" si="9"/>
        <v>-783.34999999999991</v>
      </c>
    </row>
    <row r="37" spans="1:24" s="217" customFormat="1" ht="49.5" customHeight="1" thickBot="1">
      <c r="A37" s="254">
        <v>19</v>
      </c>
      <c r="B37" s="432"/>
      <c r="C37" s="358" t="s">
        <v>210</v>
      </c>
      <c r="D37" s="369" t="s">
        <v>143</v>
      </c>
      <c r="E37" s="364">
        <v>3</v>
      </c>
      <c r="F37" s="370">
        <v>32.03</v>
      </c>
      <c r="G37" s="371">
        <f t="shared" si="0"/>
        <v>96.09</v>
      </c>
      <c r="H37" s="373"/>
      <c r="I37" s="364">
        <v>69120000</v>
      </c>
      <c r="J37" s="376">
        <f t="shared" si="1"/>
        <v>828936.4</v>
      </c>
      <c r="K37" s="365">
        <v>849600</v>
      </c>
      <c r="L37" s="377">
        <f t="shared" si="2"/>
        <v>2486809.2000000002</v>
      </c>
      <c r="M37" s="380">
        <v>0</v>
      </c>
      <c r="N37" s="378">
        <f t="shared" si="6"/>
        <v>0</v>
      </c>
      <c r="O37" s="382">
        <f t="shared" si="7"/>
        <v>2486809.2000000002</v>
      </c>
      <c r="P37" s="380">
        <v>0.08</v>
      </c>
      <c r="Q37" s="378">
        <f t="shared" si="8"/>
        <v>198944.73600000003</v>
      </c>
      <c r="R37" s="214">
        <v>133</v>
      </c>
      <c r="S37" s="214">
        <f t="shared" si="3"/>
        <v>0.72248120300751884</v>
      </c>
      <c r="T37" s="215">
        <f t="shared" si="4"/>
        <v>2486809.2000000002</v>
      </c>
      <c r="U37" s="216">
        <v>0</v>
      </c>
      <c r="V37" s="213">
        <f t="shared" si="10"/>
        <v>0</v>
      </c>
      <c r="W37" s="341">
        <v>401.76</v>
      </c>
      <c r="X37" s="353">
        <f t="shared" si="9"/>
        <v>-305.66999999999996</v>
      </c>
    </row>
    <row r="38" spans="1:24" s="217" customFormat="1" ht="49.5" customHeight="1" thickBot="1">
      <c r="A38" s="254">
        <v>20</v>
      </c>
      <c r="B38" s="431" t="s">
        <v>309</v>
      </c>
      <c r="C38" s="356" t="s">
        <v>211</v>
      </c>
      <c r="D38" s="369" t="s">
        <v>143</v>
      </c>
      <c r="E38" s="364">
        <v>500</v>
      </c>
      <c r="F38" s="370">
        <v>5.47</v>
      </c>
      <c r="G38" s="371">
        <f t="shared" si="0"/>
        <v>2735</v>
      </c>
      <c r="H38" s="373"/>
      <c r="I38" s="364">
        <v>85365096</v>
      </c>
      <c r="J38" s="376">
        <f t="shared" si="1"/>
        <v>141563.6</v>
      </c>
      <c r="K38" s="365">
        <v>145000</v>
      </c>
      <c r="L38" s="377">
        <f t="shared" si="2"/>
        <v>70781800</v>
      </c>
      <c r="M38" s="380">
        <v>0</v>
      </c>
      <c r="N38" s="378">
        <f t="shared" si="6"/>
        <v>0</v>
      </c>
      <c r="O38" s="382">
        <f t="shared" si="7"/>
        <v>70781800</v>
      </c>
      <c r="P38" s="380">
        <v>0.08</v>
      </c>
      <c r="Q38" s="378">
        <f t="shared" si="8"/>
        <v>5662544</v>
      </c>
      <c r="R38" s="214">
        <v>134</v>
      </c>
      <c r="S38" s="214">
        <f t="shared" si="3"/>
        <v>20.410447761194028</v>
      </c>
      <c r="T38" s="215">
        <f t="shared" si="4"/>
        <v>70781800</v>
      </c>
      <c r="U38" s="216">
        <v>0</v>
      </c>
      <c r="V38" s="213">
        <f t="shared" si="10"/>
        <v>0</v>
      </c>
      <c r="W38" s="341">
        <v>272</v>
      </c>
      <c r="X38" s="353">
        <f t="shared" si="9"/>
        <v>2463</v>
      </c>
    </row>
    <row r="39" spans="1:24" s="217" customFormat="1" ht="49.5" customHeight="1" thickBot="1">
      <c r="A39" s="254">
        <v>21</v>
      </c>
      <c r="B39" s="431"/>
      <c r="C39" s="356" t="s">
        <v>212</v>
      </c>
      <c r="D39" s="369" t="s">
        <v>143</v>
      </c>
      <c r="E39" s="364">
        <v>300</v>
      </c>
      <c r="F39" s="370">
        <v>8.2899999999999991</v>
      </c>
      <c r="G39" s="371">
        <f t="shared" si="0"/>
        <v>2486.9999999999995</v>
      </c>
      <c r="H39" s="373"/>
      <c r="I39" s="364">
        <v>85365096</v>
      </c>
      <c r="J39" s="376">
        <f t="shared" si="1"/>
        <v>214545.19999999998</v>
      </c>
      <c r="K39" s="365">
        <v>220000</v>
      </c>
      <c r="L39" s="377">
        <f t="shared" si="2"/>
        <v>64363559.999999985</v>
      </c>
      <c r="M39" s="380">
        <v>0</v>
      </c>
      <c r="N39" s="378">
        <f t="shared" si="6"/>
        <v>0</v>
      </c>
      <c r="O39" s="382">
        <f t="shared" si="7"/>
        <v>64363559.999999985</v>
      </c>
      <c r="P39" s="380">
        <v>0.08</v>
      </c>
      <c r="Q39" s="378">
        <f t="shared" si="8"/>
        <v>5149084.7999999989</v>
      </c>
      <c r="R39" s="214">
        <v>135</v>
      </c>
      <c r="S39" s="214">
        <f t="shared" si="3"/>
        <v>18.422222222222217</v>
      </c>
      <c r="T39" s="215">
        <f t="shared" si="4"/>
        <v>64363559.999999985</v>
      </c>
      <c r="U39" s="216">
        <v>0</v>
      </c>
      <c r="V39" s="213">
        <f t="shared" si="10"/>
        <v>0</v>
      </c>
      <c r="W39" s="341">
        <v>572.79999999999995</v>
      </c>
      <c r="X39" s="353">
        <f t="shared" si="9"/>
        <v>1914.1999999999996</v>
      </c>
    </row>
    <row r="40" spans="1:24" s="217" customFormat="1" ht="49.5" customHeight="1" thickBot="1">
      <c r="A40" s="254">
        <v>22</v>
      </c>
      <c r="B40" s="431"/>
      <c r="C40" s="356" t="s">
        <v>213</v>
      </c>
      <c r="D40" s="369" t="s">
        <v>143</v>
      </c>
      <c r="E40" s="364">
        <v>300</v>
      </c>
      <c r="F40" s="370">
        <v>4.49</v>
      </c>
      <c r="G40" s="371">
        <f t="shared" si="0"/>
        <v>1347</v>
      </c>
      <c r="H40" s="373"/>
      <c r="I40" s="364">
        <v>73269099</v>
      </c>
      <c r="J40" s="376">
        <f t="shared" si="1"/>
        <v>116201.20000000001</v>
      </c>
      <c r="K40" s="365">
        <v>119000</v>
      </c>
      <c r="L40" s="377">
        <f t="shared" si="2"/>
        <v>34860360</v>
      </c>
      <c r="M40" s="380">
        <v>0</v>
      </c>
      <c r="N40" s="378">
        <f t="shared" si="6"/>
        <v>0</v>
      </c>
      <c r="O40" s="382">
        <f t="shared" si="7"/>
        <v>34860360</v>
      </c>
      <c r="P40" s="380">
        <v>0.08</v>
      </c>
      <c r="Q40" s="378">
        <f t="shared" si="8"/>
        <v>2788828.8000000003</v>
      </c>
      <c r="R40" s="214">
        <v>136</v>
      </c>
      <c r="S40" s="214">
        <f t="shared" si="3"/>
        <v>9.9044117647058822</v>
      </c>
      <c r="T40" s="215">
        <f t="shared" si="4"/>
        <v>34860360</v>
      </c>
      <c r="U40" s="216">
        <v>0</v>
      </c>
      <c r="V40" s="213">
        <f t="shared" si="10"/>
        <v>0</v>
      </c>
      <c r="W40" s="341">
        <v>230</v>
      </c>
      <c r="X40" s="353">
        <f t="shared" si="9"/>
        <v>1117</v>
      </c>
    </row>
    <row r="41" spans="1:24" s="217" customFormat="1" ht="45.75" thickBot="1">
      <c r="A41" s="254">
        <v>23</v>
      </c>
      <c r="B41" s="401" t="s">
        <v>310</v>
      </c>
      <c r="C41" s="345" t="s">
        <v>214</v>
      </c>
      <c r="D41" s="369" t="s">
        <v>143</v>
      </c>
      <c r="E41" s="364">
        <v>400</v>
      </c>
      <c r="F41" s="370">
        <v>9.24</v>
      </c>
      <c r="G41" s="371">
        <f t="shared" si="0"/>
        <v>3696</v>
      </c>
      <c r="H41" s="373"/>
      <c r="I41" s="364">
        <v>95069990</v>
      </c>
      <c r="J41" s="376">
        <f t="shared" si="1"/>
        <v>239131.2</v>
      </c>
      <c r="K41" s="365">
        <v>245000</v>
      </c>
      <c r="L41" s="377">
        <f t="shared" si="2"/>
        <v>95652480</v>
      </c>
      <c r="M41" s="380">
        <v>0</v>
      </c>
      <c r="N41" s="378">
        <f t="shared" si="6"/>
        <v>0</v>
      </c>
      <c r="O41" s="382">
        <f t="shared" si="7"/>
        <v>95652480</v>
      </c>
      <c r="P41" s="380">
        <v>0.08</v>
      </c>
      <c r="Q41" s="378">
        <f t="shared" si="8"/>
        <v>7652198.4000000004</v>
      </c>
      <c r="R41" s="214">
        <v>137</v>
      </c>
      <c r="S41" s="214">
        <f t="shared" si="3"/>
        <v>26.978102189781023</v>
      </c>
      <c r="T41" s="215">
        <f t="shared" si="4"/>
        <v>95652480</v>
      </c>
      <c r="U41" s="216">
        <v>0</v>
      </c>
      <c r="V41" s="213">
        <f t="shared" si="10"/>
        <v>0</v>
      </c>
      <c r="W41" s="341">
        <v>67.5</v>
      </c>
      <c r="X41" s="353">
        <f t="shared" si="9"/>
        <v>3628.5</v>
      </c>
    </row>
    <row r="42" spans="1:24" s="217" customFormat="1" ht="49.5" customHeight="1" thickBot="1">
      <c r="A42" s="254">
        <v>24</v>
      </c>
      <c r="B42" s="431" t="s">
        <v>311</v>
      </c>
      <c r="C42" s="345" t="s">
        <v>215</v>
      </c>
      <c r="D42" s="369" t="s">
        <v>143</v>
      </c>
      <c r="E42" s="364">
        <v>270</v>
      </c>
      <c r="F42" s="370">
        <v>0.92</v>
      </c>
      <c r="G42" s="371">
        <f t="shared" si="0"/>
        <v>248.4</v>
      </c>
      <c r="H42" s="373"/>
      <c r="I42" s="364">
        <v>42010000</v>
      </c>
      <c r="J42" s="376">
        <f t="shared" si="1"/>
        <v>23809.600000000002</v>
      </c>
      <c r="K42" s="365">
        <v>24371</v>
      </c>
      <c r="L42" s="377">
        <f t="shared" si="2"/>
        <v>6428592</v>
      </c>
      <c r="M42" s="380">
        <v>0</v>
      </c>
      <c r="N42" s="378">
        <f t="shared" si="6"/>
        <v>0</v>
      </c>
      <c r="O42" s="382">
        <f t="shared" si="7"/>
        <v>6428592</v>
      </c>
      <c r="P42" s="380">
        <v>0.08</v>
      </c>
      <c r="Q42" s="378">
        <f t="shared" si="8"/>
        <v>514287.35999999999</v>
      </c>
      <c r="R42" s="214">
        <v>138</v>
      </c>
      <c r="S42" s="214">
        <f t="shared" si="3"/>
        <v>1.8</v>
      </c>
      <c r="T42" s="215">
        <f t="shared" si="4"/>
        <v>6428592</v>
      </c>
      <c r="U42" s="216">
        <v>0</v>
      </c>
      <c r="V42" s="213">
        <f t="shared" si="10"/>
        <v>0</v>
      </c>
      <c r="W42" s="341">
        <v>57</v>
      </c>
      <c r="X42" s="353">
        <f t="shared" si="9"/>
        <v>191.4</v>
      </c>
    </row>
    <row r="43" spans="1:24" s="217" customFormat="1" ht="49.5" customHeight="1" thickBot="1">
      <c r="A43" s="254">
        <v>25</v>
      </c>
      <c r="B43" s="431"/>
      <c r="C43" s="345" t="s">
        <v>216</v>
      </c>
      <c r="D43" s="369" t="s">
        <v>143</v>
      </c>
      <c r="E43" s="364">
        <v>400</v>
      </c>
      <c r="F43" s="370">
        <v>0.71</v>
      </c>
      <c r="G43" s="371">
        <f t="shared" si="0"/>
        <v>284</v>
      </c>
      <c r="H43" s="373"/>
      <c r="I43" s="364">
        <v>42010000</v>
      </c>
      <c r="J43" s="376">
        <f t="shared" si="1"/>
        <v>18374.8</v>
      </c>
      <c r="K43" s="365">
        <v>18762</v>
      </c>
      <c r="L43" s="377">
        <f t="shared" si="2"/>
        <v>7349920</v>
      </c>
      <c r="M43" s="380">
        <v>0</v>
      </c>
      <c r="N43" s="378">
        <f t="shared" si="6"/>
        <v>0</v>
      </c>
      <c r="O43" s="382">
        <f t="shared" si="7"/>
        <v>7349920</v>
      </c>
      <c r="P43" s="380">
        <v>0.08</v>
      </c>
      <c r="Q43" s="378">
        <f t="shared" si="8"/>
        <v>587993.59999999998</v>
      </c>
      <c r="R43" s="214">
        <v>139</v>
      </c>
      <c r="S43" s="214">
        <f t="shared" si="3"/>
        <v>2.0431654676258995</v>
      </c>
      <c r="T43" s="215">
        <f t="shared" si="4"/>
        <v>7349920</v>
      </c>
      <c r="U43" s="216">
        <v>0</v>
      </c>
      <c r="V43" s="213">
        <f t="shared" si="10"/>
        <v>0</v>
      </c>
      <c r="W43" s="341">
        <v>80.099999999999994</v>
      </c>
      <c r="X43" s="353">
        <f t="shared" si="9"/>
        <v>203.9</v>
      </c>
    </row>
    <row r="44" spans="1:24" s="217" customFormat="1" ht="49.5" customHeight="1" thickBot="1">
      <c r="A44" s="254">
        <v>26</v>
      </c>
      <c r="B44" s="401" t="s">
        <v>312</v>
      </c>
      <c r="C44" s="356" t="s">
        <v>217</v>
      </c>
      <c r="D44" s="369" t="s">
        <v>154</v>
      </c>
      <c r="E44" s="365">
        <v>1200</v>
      </c>
      <c r="F44" s="370">
        <v>5.28</v>
      </c>
      <c r="G44" s="371">
        <f t="shared" si="0"/>
        <v>6336</v>
      </c>
      <c r="H44" s="373"/>
      <c r="I44" s="364">
        <v>73249099</v>
      </c>
      <c r="J44" s="376">
        <f t="shared" si="1"/>
        <v>136646.39999999999</v>
      </c>
      <c r="K44" s="365">
        <v>140000</v>
      </c>
      <c r="L44" s="377">
        <f t="shared" si="2"/>
        <v>163975680</v>
      </c>
      <c r="M44" s="380">
        <v>0</v>
      </c>
      <c r="N44" s="378">
        <f t="shared" si="6"/>
        <v>0</v>
      </c>
      <c r="O44" s="382">
        <f t="shared" si="7"/>
        <v>163975680</v>
      </c>
      <c r="P44" s="380">
        <v>0.08</v>
      </c>
      <c r="Q44" s="378">
        <f t="shared" si="8"/>
        <v>13118054.4</v>
      </c>
      <c r="R44" s="214">
        <v>140</v>
      </c>
      <c r="S44" s="214">
        <f t="shared" si="3"/>
        <v>45.25714285714286</v>
      </c>
      <c r="T44" s="215">
        <f t="shared" si="4"/>
        <v>163975680</v>
      </c>
      <c r="U44" s="216">
        <v>0</v>
      </c>
      <c r="V44" s="213">
        <f t="shared" si="10"/>
        <v>0</v>
      </c>
      <c r="W44" s="341">
        <v>122</v>
      </c>
      <c r="X44" s="353">
        <f t="shared" si="9"/>
        <v>6214</v>
      </c>
    </row>
    <row r="45" spans="1:24" s="217" customFormat="1" ht="49.5" customHeight="1" thickBot="1">
      <c r="A45" s="254">
        <v>27</v>
      </c>
      <c r="B45" s="431" t="s">
        <v>313</v>
      </c>
      <c r="C45" s="356" t="s">
        <v>218</v>
      </c>
      <c r="D45" s="369" t="s">
        <v>143</v>
      </c>
      <c r="E45" s="364">
        <v>48</v>
      </c>
      <c r="F45" s="370">
        <v>10.18</v>
      </c>
      <c r="G45" s="371">
        <f t="shared" si="0"/>
        <v>488.64</v>
      </c>
      <c r="H45" s="373"/>
      <c r="I45" s="364">
        <v>39264000</v>
      </c>
      <c r="J45" s="376">
        <f t="shared" si="1"/>
        <v>263458.39999999997</v>
      </c>
      <c r="K45" s="365">
        <v>270000</v>
      </c>
      <c r="L45" s="377">
        <f t="shared" si="2"/>
        <v>12646003.199999999</v>
      </c>
      <c r="M45" s="380">
        <v>0</v>
      </c>
      <c r="N45" s="378">
        <f t="shared" si="6"/>
        <v>0</v>
      </c>
      <c r="O45" s="382">
        <f t="shared" si="7"/>
        <v>12646003.199999999</v>
      </c>
      <c r="P45" s="380">
        <v>0.08</v>
      </c>
      <c r="Q45" s="378">
        <f t="shared" si="8"/>
        <v>1011680.2559999999</v>
      </c>
      <c r="R45" s="214">
        <v>141</v>
      </c>
      <c r="S45" s="214">
        <f t="shared" ref="S45:S83" si="11">G45/R45</f>
        <v>3.4655319148936168</v>
      </c>
      <c r="T45" s="215">
        <f t="shared" ref="T45:T83" si="12">L45</f>
        <v>12646003.199999999</v>
      </c>
      <c r="U45" s="216">
        <v>1</v>
      </c>
      <c r="V45" s="213">
        <f t="shared" ref="V45:V83" si="13">T45*U45</f>
        <v>12646003.199999999</v>
      </c>
      <c r="W45" s="341">
        <v>101.4</v>
      </c>
      <c r="X45" s="353">
        <f t="shared" si="9"/>
        <v>387.24</v>
      </c>
    </row>
    <row r="46" spans="1:24" s="217" customFormat="1" ht="49.5" customHeight="1" thickBot="1">
      <c r="A46" s="254">
        <v>28</v>
      </c>
      <c r="B46" s="431"/>
      <c r="C46" s="356" t="s">
        <v>219</v>
      </c>
      <c r="D46" s="369" t="s">
        <v>143</v>
      </c>
      <c r="E46" s="364">
        <v>150</v>
      </c>
      <c r="F46" s="370">
        <v>4.17</v>
      </c>
      <c r="G46" s="371">
        <f t="shared" si="0"/>
        <v>625.5</v>
      </c>
      <c r="H46" s="373"/>
      <c r="I46" s="364">
        <v>39241099</v>
      </c>
      <c r="J46" s="376">
        <f t="shared" si="1"/>
        <v>107919.59999999999</v>
      </c>
      <c r="K46" s="365">
        <v>110640</v>
      </c>
      <c r="L46" s="377">
        <f t="shared" si="2"/>
        <v>16187940</v>
      </c>
      <c r="M46" s="380">
        <v>0</v>
      </c>
      <c r="N46" s="378">
        <f t="shared" si="6"/>
        <v>0</v>
      </c>
      <c r="O46" s="382">
        <f t="shared" si="7"/>
        <v>16187940</v>
      </c>
      <c r="P46" s="380">
        <v>0.08</v>
      </c>
      <c r="Q46" s="378">
        <f t="shared" si="8"/>
        <v>1295035.2</v>
      </c>
      <c r="R46" s="214">
        <v>142</v>
      </c>
      <c r="S46" s="214">
        <f t="shared" si="11"/>
        <v>4.404929577464789</v>
      </c>
      <c r="T46" s="215">
        <f t="shared" si="12"/>
        <v>16187940</v>
      </c>
      <c r="U46" s="216">
        <v>2</v>
      </c>
      <c r="V46" s="213">
        <f t="shared" si="13"/>
        <v>32375880</v>
      </c>
      <c r="W46" s="341">
        <v>65.95</v>
      </c>
      <c r="X46" s="353">
        <f t="shared" si="9"/>
        <v>559.54999999999995</v>
      </c>
    </row>
    <row r="47" spans="1:24" s="217" customFormat="1" ht="49.5" customHeight="1" thickBot="1">
      <c r="A47" s="254">
        <v>29</v>
      </c>
      <c r="B47" s="431"/>
      <c r="C47" s="356" t="s">
        <v>220</v>
      </c>
      <c r="D47" s="369" t="s">
        <v>143</v>
      </c>
      <c r="E47" s="364">
        <v>150</v>
      </c>
      <c r="F47" s="370">
        <v>4.17</v>
      </c>
      <c r="G47" s="371">
        <f t="shared" si="0"/>
        <v>625.5</v>
      </c>
      <c r="H47" s="373"/>
      <c r="I47" s="364">
        <v>39241099</v>
      </c>
      <c r="J47" s="376">
        <f t="shared" si="1"/>
        <v>107919.59999999999</v>
      </c>
      <c r="K47" s="365">
        <v>110640</v>
      </c>
      <c r="L47" s="377">
        <f t="shared" si="2"/>
        <v>16187940</v>
      </c>
      <c r="M47" s="380">
        <v>0</v>
      </c>
      <c r="N47" s="378">
        <f t="shared" si="6"/>
        <v>0</v>
      </c>
      <c r="O47" s="382">
        <f t="shared" si="7"/>
        <v>16187940</v>
      </c>
      <c r="P47" s="380">
        <v>0.08</v>
      </c>
      <c r="Q47" s="378">
        <f t="shared" si="8"/>
        <v>1295035.2</v>
      </c>
      <c r="R47" s="214">
        <v>143</v>
      </c>
      <c r="S47" s="214">
        <f t="shared" si="11"/>
        <v>4.3741258741258742</v>
      </c>
      <c r="T47" s="215">
        <f t="shared" si="12"/>
        <v>16187940</v>
      </c>
      <c r="U47" s="216">
        <v>3</v>
      </c>
      <c r="V47" s="213">
        <f t="shared" si="13"/>
        <v>48563820</v>
      </c>
      <c r="W47" s="341">
        <v>128.4</v>
      </c>
      <c r="X47" s="353">
        <f t="shared" si="9"/>
        <v>497.1</v>
      </c>
    </row>
    <row r="48" spans="1:24" s="217" customFormat="1" ht="49.5" customHeight="1" thickBot="1">
      <c r="A48" s="254">
        <v>30</v>
      </c>
      <c r="B48" s="431" t="s">
        <v>314</v>
      </c>
      <c r="C48" s="356" t="s">
        <v>221</v>
      </c>
      <c r="D48" s="369" t="s">
        <v>143</v>
      </c>
      <c r="E48" s="364">
        <v>200</v>
      </c>
      <c r="F48" s="370">
        <v>13.19</v>
      </c>
      <c r="G48" s="371">
        <f t="shared" si="0"/>
        <v>2638</v>
      </c>
      <c r="H48" s="373"/>
      <c r="I48" s="364">
        <v>73239310</v>
      </c>
      <c r="J48" s="376">
        <f t="shared" si="1"/>
        <v>341357.2</v>
      </c>
      <c r="K48" s="365">
        <v>350000</v>
      </c>
      <c r="L48" s="377">
        <f t="shared" si="2"/>
        <v>68271440</v>
      </c>
      <c r="M48" s="380">
        <v>0</v>
      </c>
      <c r="N48" s="378">
        <f t="shared" si="6"/>
        <v>0</v>
      </c>
      <c r="O48" s="382">
        <f t="shared" si="7"/>
        <v>68271440</v>
      </c>
      <c r="P48" s="380">
        <v>0.08</v>
      </c>
      <c r="Q48" s="378">
        <f t="shared" si="8"/>
        <v>5461715.2000000002</v>
      </c>
      <c r="R48" s="214">
        <v>144</v>
      </c>
      <c r="S48" s="214">
        <f t="shared" si="11"/>
        <v>18.319444444444443</v>
      </c>
      <c r="T48" s="215">
        <f t="shared" si="12"/>
        <v>68271440</v>
      </c>
      <c r="U48" s="216">
        <v>4</v>
      </c>
      <c r="V48" s="213">
        <f t="shared" si="13"/>
        <v>273085760</v>
      </c>
      <c r="W48" s="341">
        <v>436</v>
      </c>
      <c r="X48" s="353">
        <f t="shared" si="9"/>
        <v>2202</v>
      </c>
    </row>
    <row r="49" spans="1:24" s="217" customFormat="1" ht="45.75" thickBot="1">
      <c r="A49" s="254">
        <v>31</v>
      </c>
      <c r="B49" s="431"/>
      <c r="C49" s="356" t="s">
        <v>222</v>
      </c>
      <c r="D49" s="369" t="s">
        <v>143</v>
      </c>
      <c r="E49" s="364">
        <v>26</v>
      </c>
      <c r="F49" s="370">
        <v>7.92</v>
      </c>
      <c r="G49" s="371">
        <f t="shared" si="0"/>
        <v>205.92</v>
      </c>
      <c r="H49" s="373"/>
      <c r="I49" s="364">
        <v>73239310</v>
      </c>
      <c r="J49" s="376">
        <f t="shared" si="1"/>
        <v>204969.60000000001</v>
      </c>
      <c r="K49" s="365">
        <v>210000</v>
      </c>
      <c r="L49" s="377">
        <f t="shared" si="2"/>
        <v>5329209.5999999996</v>
      </c>
      <c r="M49" s="380">
        <v>0</v>
      </c>
      <c r="N49" s="378">
        <f t="shared" si="6"/>
        <v>0</v>
      </c>
      <c r="O49" s="382">
        <f t="shared" si="7"/>
        <v>5329209.5999999996</v>
      </c>
      <c r="P49" s="380">
        <v>0.08</v>
      </c>
      <c r="Q49" s="378">
        <f t="shared" si="8"/>
        <v>426336.76799999998</v>
      </c>
      <c r="R49" s="214">
        <v>145</v>
      </c>
      <c r="S49" s="214">
        <f t="shared" si="11"/>
        <v>1.4201379310344826</v>
      </c>
      <c r="T49" s="215">
        <f t="shared" si="12"/>
        <v>5329209.5999999996</v>
      </c>
      <c r="U49" s="216">
        <v>5</v>
      </c>
      <c r="V49" s="213">
        <f t="shared" si="13"/>
        <v>26646048</v>
      </c>
      <c r="W49" s="341">
        <v>327</v>
      </c>
      <c r="X49" s="353">
        <f t="shared" si="9"/>
        <v>-121.08000000000001</v>
      </c>
    </row>
    <row r="50" spans="1:24" s="217" customFormat="1" ht="49.5" customHeight="1" thickBot="1">
      <c r="A50" s="254">
        <v>32</v>
      </c>
      <c r="B50" s="401" t="s">
        <v>315</v>
      </c>
      <c r="C50" s="356" t="s">
        <v>223</v>
      </c>
      <c r="D50" s="369" t="s">
        <v>143</v>
      </c>
      <c r="E50" s="364">
        <v>120</v>
      </c>
      <c r="F50" s="370">
        <v>1.88</v>
      </c>
      <c r="G50" s="371">
        <f t="shared" si="0"/>
        <v>225.6</v>
      </c>
      <c r="H50" s="373"/>
      <c r="I50" s="364">
        <v>39264000</v>
      </c>
      <c r="J50" s="376">
        <f t="shared" si="1"/>
        <v>48654.399999999994</v>
      </c>
      <c r="K50" s="365">
        <v>50000</v>
      </c>
      <c r="L50" s="377">
        <f t="shared" si="2"/>
        <v>5838528</v>
      </c>
      <c r="M50" s="380">
        <v>0</v>
      </c>
      <c r="N50" s="378">
        <f t="shared" si="6"/>
        <v>0</v>
      </c>
      <c r="O50" s="382">
        <f t="shared" si="7"/>
        <v>5838528</v>
      </c>
      <c r="P50" s="380">
        <v>0.08</v>
      </c>
      <c r="Q50" s="378">
        <f t="shared" si="8"/>
        <v>467082.23999999999</v>
      </c>
      <c r="R50" s="214">
        <v>146</v>
      </c>
      <c r="S50" s="214">
        <f t="shared" si="11"/>
        <v>1.5452054794520547</v>
      </c>
      <c r="T50" s="215">
        <f t="shared" si="12"/>
        <v>5838528</v>
      </c>
      <c r="U50" s="216">
        <v>6</v>
      </c>
      <c r="V50" s="213">
        <f t="shared" si="13"/>
        <v>35031168</v>
      </c>
      <c r="W50" s="341">
        <v>654</v>
      </c>
      <c r="X50" s="353">
        <f t="shared" si="9"/>
        <v>-428.4</v>
      </c>
    </row>
    <row r="51" spans="1:24" s="217" customFormat="1" ht="49.5" customHeight="1" thickBot="1">
      <c r="A51" s="254">
        <v>33</v>
      </c>
      <c r="B51" s="431" t="s">
        <v>316</v>
      </c>
      <c r="C51" s="356" t="s">
        <v>224</v>
      </c>
      <c r="D51" s="369" t="s">
        <v>143</v>
      </c>
      <c r="E51" s="365">
        <v>6500</v>
      </c>
      <c r="F51" s="370">
        <v>0.183</v>
      </c>
      <c r="G51" s="371">
        <f t="shared" si="0"/>
        <v>1189.5</v>
      </c>
      <c r="H51" s="373"/>
      <c r="I51" s="364">
        <v>70072990</v>
      </c>
      <c r="J51" s="376">
        <f t="shared" si="1"/>
        <v>4736.04</v>
      </c>
      <c r="K51" s="365">
        <v>4847</v>
      </c>
      <c r="L51" s="377">
        <f t="shared" si="2"/>
        <v>30784260</v>
      </c>
      <c r="M51" s="380">
        <v>0</v>
      </c>
      <c r="N51" s="378">
        <f t="shared" si="6"/>
        <v>0</v>
      </c>
      <c r="O51" s="382">
        <f t="shared" si="7"/>
        <v>30784260</v>
      </c>
      <c r="P51" s="380">
        <v>0.08</v>
      </c>
      <c r="Q51" s="378">
        <f t="shared" si="8"/>
        <v>2462740.8000000003</v>
      </c>
      <c r="R51" s="214">
        <v>147</v>
      </c>
      <c r="S51" s="214">
        <f t="shared" si="11"/>
        <v>8.091836734693878</v>
      </c>
      <c r="T51" s="215">
        <f t="shared" si="12"/>
        <v>30784260</v>
      </c>
      <c r="U51" s="216">
        <v>7</v>
      </c>
      <c r="V51" s="213">
        <f t="shared" si="13"/>
        <v>215489820</v>
      </c>
      <c r="W51" s="341">
        <v>894.92</v>
      </c>
      <c r="X51" s="353">
        <f t="shared" si="9"/>
        <v>294.58000000000004</v>
      </c>
    </row>
    <row r="52" spans="1:24" s="217" customFormat="1" ht="49.5" customHeight="1" thickBot="1">
      <c r="A52" s="254">
        <v>34</v>
      </c>
      <c r="B52" s="431"/>
      <c r="C52" s="356" t="s">
        <v>304</v>
      </c>
      <c r="D52" s="369" t="s">
        <v>143</v>
      </c>
      <c r="E52" s="365">
        <v>13000</v>
      </c>
      <c r="F52" s="370">
        <v>0.20699999999999999</v>
      </c>
      <c r="G52" s="371">
        <f t="shared" si="0"/>
        <v>2691</v>
      </c>
      <c r="H52" s="373"/>
      <c r="I52" s="364">
        <v>70072990</v>
      </c>
      <c r="J52" s="376">
        <f t="shared" si="1"/>
        <v>5357.16</v>
      </c>
      <c r="K52" s="365">
        <v>5500</v>
      </c>
      <c r="L52" s="377">
        <f t="shared" si="2"/>
        <v>69643080</v>
      </c>
      <c r="M52" s="380">
        <v>0</v>
      </c>
      <c r="N52" s="378">
        <f t="shared" si="6"/>
        <v>0</v>
      </c>
      <c r="O52" s="382">
        <f t="shared" si="7"/>
        <v>69643080</v>
      </c>
      <c r="P52" s="380">
        <v>0.08</v>
      </c>
      <c r="Q52" s="378">
        <f t="shared" si="8"/>
        <v>5571446.4000000004</v>
      </c>
      <c r="R52" s="214">
        <v>148</v>
      </c>
      <c r="S52" s="214">
        <f t="shared" si="11"/>
        <v>18.182432432432432</v>
      </c>
      <c r="T52" s="215">
        <f t="shared" si="12"/>
        <v>69643080</v>
      </c>
      <c r="U52" s="216">
        <v>8</v>
      </c>
      <c r="V52" s="213">
        <f t="shared" si="13"/>
        <v>557144640</v>
      </c>
      <c r="W52" s="341">
        <v>1080</v>
      </c>
      <c r="X52" s="353">
        <f t="shared" si="9"/>
        <v>1611</v>
      </c>
    </row>
    <row r="53" spans="1:24" s="217" customFormat="1" ht="49.5" customHeight="1" thickBot="1">
      <c r="A53" s="254">
        <v>35</v>
      </c>
      <c r="B53" s="431"/>
      <c r="C53" s="356" t="s">
        <v>225</v>
      </c>
      <c r="D53" s="369" t="s">
        <v>143</v>
      </c>
      <c r="E53" s="365">
        <v>1620</v>
      </c>
      <c r="F53" s="370">
        <v>0.66</v>
      </c>
      <c r="G53" s="371">
        <f t="shared" si="0"/>
        <v>1069.2</v>
      </c>
      <c r="H53" s="373"/>
      <c r="I53" s="364">
        <v>70072990</v>
      </c>
      <c r="J53" s="376">
        <f t="shared" si="1"/>
        <v>17080.8</v>
      </c>
      <c r="K53" s="365">
        <v>17500</v>
      </c>
      <c r="L53" s="377">
        <f t="shared" si="2"/>
        <v>27670896</v>
      </c>
      <c r="M53" s="380">
        <v>0</v>
      </c>
      <c r="N53" s="378">
        <f t="shared" si="6"/>
        <v>0</v>
      </c>
      <c r="O53" s="382">
        <f t="shared" si="7"/>
        <v>27670896</v>
      </c>
      <c r="P53" s="380">
        <v>0.08</v>
      </c>
      <c r="Q53" s="378">
        <f t="shared" si="8"/>
        <v>2213671.6800000002</v>
      </c>
      <c r="R53" s="214">
        <v>149</v>
      </c>
      <c r="S53" s="214">
        <f t="shared" si="11"/>
        <v>7.1758389261744968</v>
      </c>
      <c r="T53" s="215">
        <f t="shared" si="12"/>
        <v>27670896</v>
      </c>
      <c r="U53" s="216">
        <v>9</v>
      </c>
      <c r="V53" s="213">
        <f t="shared" si="13"/>
        <v>249038064</v>
      </c>
      <c r="W53" s="341">
        <v>654.5</v>
      </c>
      <c r="X53" s="353">
        <f t="shared" si="9"/>
        <v>414.70000000000005</v>
      </c>
    </row>
    <row r="54" spans="1:24" s="217" customFormat="1" ht="49.5" customHeight="1" thickBot="1">
      <c r="A54" s="254">
        <v>36</v>
      </c>
      <c r="B54" s="431"/>
      <c r="C54" s="356" t="s">
        <v>226</v>
      </c>
      <c r="D54" s="369" t="s">
        <v>143</v>
      </c>
      <c r="E54" s="365">
        <v>5000</v>
      </c>
      <c r="F54" s="370">
        <v>0.32</v>
      </c>
      <c r="G54" s="371">
        <f t="shared" si="0"/>
        <v>1600</v>
      </c>
      <c r="H54" s="373"/>
      <c r="I54" s="364">
        <v>70072990</v>
      </c>
      <c r="J54" s="376">
        <f t="shared" si="1"/>
        <v>8281.6</v>
      </c>
      <c r="K54" s="365">
        <v>8500</v>
      </c>
      <c r="L54" s="377">
        <f t="shared" si="2"/>
        <v>41408000</v>
      </c>
      <c r="M54" s="380">
        <v>0</v>
      </c>
      <c r="N54" s="378">
        <f t="shared" si="6"/>
        <v>0</v>
      </c>
      <c r="O54" s="382">
        <f t="shared" si="7"/>
        <v>41408000</v>
      </c>
      <c r="P54" s="380">
        <v>0.08</v>
      </c>
      <c r="Q54" s="378">
        <f t="shared" si="8"/>
        <v>3312640</v>
      </c>
      <c r="R54" s="214">
        <v>150</v>
      </c>
      <c r="S54" s="214">
        <f t="shared" si="11"/>
        <v>10.666666666666666</v>
      </c>
      <c r="T54" s="215">
        <f t="shared" si="12"/>
        <v>41408000</v>
      </c>
      <c r="U54" s="216">
        <v>10</v>
      </c>
      <c r="V54" s="213">
        <f t="shared" si="13"/>
        <v>414080000</v>
      </c>
      <c r="W54" s="341">
        <v>428.84</v>
      </c>
      <c r="X54" s="353">
        <f t="shared" si="9"/>
        <v>1171.1600000000001</v>
      </c>
    </row>
    <row r="55" spans="1:24" s="217" customFormat="1" ht="49.5" customHeight="1" thickBot="1">
      <c r="A55" s="254">
        <v>37</v>
      </c>
      <c r="B55" s="431"/>
      <c r="C55" s="356" t="s">
        <v>227</v>
      </c>
      <c r="D55" s="369" t="s">
        <v>143</v>
      </c>
      <c r="E55" s="365">
        <v>3000</v>
      </c>
      <c r="F55" s="370">
        <v>0.26</v>
      </c>
      <c r="G55" s="371">
        <f t="shared" si="0"/>
        <v>780</v>
      </c>
      <c r="H55" s="373"/>
      <c r="I55" s="364">
        <v>70072990</v>
      </c>
      <c r="J55" s="376">
        <f t="shared" si="1"/>
        <v>6728.8</v>
      </c>
      <c r="K55" s="365">
        <v>6800</v>
      </c>
      <c r="L55" s="377">
        <f t="shared" si="2"/>
        <v>20186400</v>
      </c>
      <c r="M55" s="380">
        <v>0</v>
      </c>
      <c r="N55" s="378">
        <f t="shared" si="6"/>
        <v>0</v>
      </c>
      <c r="O55" s="382">
        <f t="shared" si="7"/>
        <v>20186400</v>
      </c>
      <c r="P55" s="380">
        <v>0.08</v>
      </c>
      <c r="Q55" s="378">
        <f t="shared" si="8"/>
        <v>1614912</v>
      </c>
      <c r="R55" s="214">
        <v>151</v>
      </c>
      <c r="S55" s="214">
        <f t="shared" si="11"/>
        <v>5.1655629139072845</v>
      </c>
      <c r="T55" s="215">
        <f t="shared" si="12"/>
        <v>20186400</v>
      </c>
      <c r="U55" s="216">
        <v>11</v>
      </c>
      <c r="V55" s="213">
        <f t="shared" si="13"/>
        <v>222050400</v>
      </c>
      <c r="W55" s="341">
        <v>347.3</v>
      </c>
      <c r="X55" s="353">
        <f t="shared" si="9"/>
        <v>432.7</v>
      </c>
    </row>
    <row r="56" spans="1:24" s="217" customFormat="1" ht="49.5" customHeight="1" thickBot="1">
      <c r="A56" s="254">
        <v>38</v>
      </c>
      <c r="B56" s="402" t="s">
        <v>317</v>
      </c>
      <c r="C56" s="357" t="s">
        <v>228</v>
      </c>
      <c r="D56" s="369" t="s">
        <v>154</v>
      </c>
      <c r="E56" s="365">
        <v>6000</v>
      </c>
      <c r="F56" s="370">
        <v>0.41</v>
      </c>
      <c r="G56" s="371">
        <f t="shared" si="0"/>
        <v>2460</v>
      </c>
      <c r="H56" s="373"/>
      <c r="I56" s="364">
        <v>79070099</v>
      </c>
      <c r="J56" s="376">
        <f t="shared" si="1"/>
        <v>10610.8</v>
      </c>
      <c r="K56" s="365">
        <v>11000</v>
      </c>
      <c r="L56" s="377">
        <f t="shared" si="2"/>
        <v>63664800</v>
      </c>
      <c r="M56" s="380">
        <v>0</v>
      </c>
      <c r="N56" s="378">
        <f t="shared" si="6"/>
        <v>0</v>
      </c>
      <c r="O56" s="382">
        <f t="shared" si="7"/>
        <v>63664800</v>
      </c>
      <c r="P56" s="381">
        <v>0.1</v>
      </c>
      <c r="Q56" s="378">
        <f t="shared" si="8"/>
        <v>6366480</v>
      </c>
      <c r="R56" s="214">
        <v>152</v>
      </c>
      <c r="S56" s="214">
        <f t="shared" si="11"/>
        <v>16.184210526315791</v>
      </c>
      <c r="T56" s="215">
        <f t="shared" si="12"/>
        <v>63664800</v>
      </c>
      <c r="U56" s="216">
        <v>12</v>
      </c>
      <c r="V56" s="213">
        <f t="shared" si="13"/>
        <v>763977600</v>
      </c>
      <c r="W56" s="341">
        <v>265.76</v>
      </c>
      <c r="X56" s="353">
        <f t="shared" si="9"/>
        <v>2194.2399999999998</v>
      </c>
    </row>
    <row r="57" spans="1:24" s="217" customFormat="1" ht="49.5" customHeight="1" thickBot="1">
      <c r="A57" s="254">
        <v>39</v>
      </c>
      <c r="B57" s="402" t="s">
        <v>318</v>
      </c>
      <c r="C57" s="356" t="s">
        <v>229</v>
      </c>
      <c r="D57" s="369" t="s">
        <v>143</v>
      </c>
      <c r="E57" s="365">
        <v>30000</v>
      </c>
      <c r="F57" s="370">
        <v>0.122</v>
      </c>
      <c r="G57" s="371">
        <f t="shared" si="0"/>
        <v>3660</v>
      </c>
      <c r="H57" s="373"/>
      <c r="I57" s="364">
        <v>96039090</v>
      </c>
      <c r="J57" s="376">
        <f t="shared" si="1"/>
        <v>3157.36</v>
      </c>
      <c r="K57" s="365">
        <v>3240</v>
      </c>
      <c r="L57" s="377">
        <f t="shared" si="2"/>
        <v>94720800</v>
      </c>
      <c r="M57" s="380">
        <v>0</v>
      </c>
      <c r="N57" s="378">
        <f t="shared" si="6"/>
        <v>0</v>
      </c>
      <c r="O57" s="382">
        <f t="shared" si="7"/>
        <v>94720800</v>
      </c>
      <c r="P57" s="380">
        <v>0.08</v>
      </c>
      <c r="Q57" s="378">
        <f t="shared" si="8"/>
        <v>7577664</v>
      </c>
      <c r="R57" s="214">
        <v>153</v>
      </c>
      <c r="S57" s="214">
        <f t="shared" si="11"/>
        <v>23.921568627450981</v>
      </c>
      <c r="T57" s="215">
        <f t="shared" si="12"/>
        <v>94720800</v>
      </c>
      <c r="U57" s="216">
        <v>13</v>
      </c>
      <c r="V57" s="213">
        <f t="shared" si="13"/>
        <v>1231370400</v>
      </c>
      <c r="W57" s="341">
        <v>105.7</v>
      </c>
      <c r="X57" s="353">
        <f t="shared" si="9"/>
        <v>3554.3</v>
      </c>
    </row>
    <row r="58" spans="1:24" s="217" customFormat="1" ht="49.5" customHeight="1" thickBot="1">
      <c r="A58" s="254">
        <v>40</v>
      </c>
      <c r="B58" s="431" t="s">
        <v>319</v>
      </c>
      <c r="C58" s="356" t="s">
        <v>188</v>
      </c>
      <c r="D58" s="369" t="s">
        <v>183</v>
      </c>
      <c r="E58" s="365">
        <v>2500</v>
      </c>
      <c r="F58" s="370">
        <v>0.56999999999999995</v>
      </c>
      <c r="G58" s="371">
        <f t="shared" si="0"/>
        <v>1424.9999999999998</v>
      </c>
      <c r="H58" s="373"/>
      <c r="I58" s="364">
        <v>96081010</v>
      </c>
      <c r="J58" s="376">
        <f t="shared" si="1"/>
        <v>14751.599999999999</v>
      </c>
      <c r="K58" s="365">
        <v>15000</v>
      </c>
      <c r="L58" s="377">
        <f t="shared" si="2"/>
        <v>36878999.999999993</v>
      </c>
      <c r="M58" s="380">
        <v>0</v>
      </c>
      <c r="N58" s="378">
        <f t="shared" si="6"/>
        <v>0</v>
      </c>
      <c r="O58" s="382">
        <f t="shared" si="7"/>
        <v>36878999.999999993</v>
      </c>
      <c r="P58" s="380">
        <v>0.08</v>
      </c>
      <c r="Q58" s="378">
        <f t="shared" si="8"/>
        <v>2950319.9999999995</v>
      </c>
      <c r="R58" s="214">
        <v>154</v>
      </c>
      <c r="S58" s="214">
        <f t="shared" si="11"/>
        <v>9.2532467532467511</v>
      </c>
      <c r="T58" s="215">
        <f t="shared" si="12"/>
        <v>36878999.999999993</v>
      </c>
      <c r="U58" s="216">
        <v>14</v>
      </c>
      <c r="V58" s="213">
        <f t="shared" si="13"/>
        <v>516305999.99999988</v>
      </c>
      <c r="W58" s="341">
        <v>217</v>
      </c>
      <c r="X58" s="353">
        <f t="shared" si="9"/>
        <v>1207.9999999999998</v>
      </c>
    </row>
    <row r="59" spans="1:24" s="217" customFormat="1" ht="49.5" customHeight="1" thickBot="1">
      <c r="A59" s="254">
        <v>41</v>
      </c>
      <c r="B59" s="431"/>
      <c r="C59" s="356" t="s">
        <v>230</v>
      </c>
      <c r="D59" s="369" t="s">
        <v>143</v>
      </c>
      <c r="E59" s="368">
        <v>14500</v>
      </c>
      <c r="F59" s="370">
        <v>0.28999999999999998</v>
      </c>
      <c r="G59" s="371">
        <f t="shared" si="0"/>
        <v>4205</v>
      </c>
      <c r="H59" s="373"/>
      <c r="I59" s="364">
        <v>42023200</v>
      </c>
      <c r="J59" s="376">
        <f t="shared" si="1"/>
        <v>7505.2</v>
      </c>
      <c r="K59" s="365">
        <v>7800</v>
      </c>
      <c r="L59" s="377">
        <f t="shared" si="2"/>
        <v>108825400</v>
      </c>
      <c r="M59" s="380">
        <v>0</v>
      </c>
      <c r="N59" s="378">
        <f t="shared" si="6"/>
        <v>0</v>
      </c>
      <c r="O59" s="382">
        <f t="shared" si="7"/>
        <v>108825400</v>
      </c>
      <c r="P59" s="380">
        <v>0.08</v>
      </c>
      <c r="Q59" s="378">
        <f t="shared" si="8"/>
        <v>8706032</v>
      </c>
      <c r="R59" s="214">
        <v>155</v>
      </c>
      <c r="S59" s="214">
        <f t="shared" si="11"/>
        <v>27.129032258064516</v>
      </c>
      <c r="T59" s="215">
        <f t="shared" si="12"/>
        <v>108825400</v>
      </c>
      <c r="U59" s="216">
        <v>15</v>
      </c>
      <c r="V59" s="213">
        <f t="shared" si="13"/>
        <v>1632381000</v>
      </c>
      <c r="W59" s="341">
        <v>825</v>
      </c>
      <c r="X59" s="353">
        <f t="shared" si="9"/>
        <v>3380</v>
      </c>
    </row>
    <row r="60" spans="1:24" s="217" customFormat="1" ht="49.5" customHeight="1" thickBot="1">
      <c r="A60" s="254">
        <v>42</v>
      </c>
      <c r="B60" s="431"/>
      <c r="C60" s="356" t="s">
        <v>231</v>
      </c>
      <c r="D60" s="369" t="s">
        <v>143</v>
      </c>
      <c r="E60" s="365">
        <v>1000</v>
      </c>
      <c r="F60" s="370">
        <v>0.45</v>
      </c>
      <c r="G60" s="371">
        <f t="shared" si="0"/>
        <v>450</v>
      </c>
      <c r="H60" s="373"/>
      <c r="I60" s="364">
        <v>42023200</v>
      </c>
      <c r="J60" s="376">
        <f t="shared" si="1"/>
        <v>11646</v>
      </c>
      <c r="K60" s="365">
        <v>12000</v>
      </c>
      <c r="L60" s="377">
        <f t="shared" si="2"/>
        <v>11646000</v>
      </c>
      <c r="M60" s="380">
        <v>0</v>
      </c>
      <c r="N60" s="378">
        <f t="shared" si="6"/>
        <v>0</v>
      </c>
      <c r="O60" s="382">
        <f t="shared" si="7"/>
        <v>11646000</v>
      </c>
      <c r="P60" s="380">
        <v>0.08</v>
      </c>
      <c r="Q60" s="378">
        <f t="shared" si="8"/>
        <v>931680</v>
      </c>
      <c r="R60" s="214">
        <v>156</v>
      </c>
      <c r="S60" s="214">
        <f t="shared" si="11"/>
        <v>2.8846153846153846</v>
      </c>
      <c r="T60" s="215">
        <f t="shared" si="12"/>
        <v>11646000</v>
      </c>
      <c r="U60" s="216">
        <v>16</v>
      </c>
      <c r="V60" s="213">
        <f t="shared" si="13"/>
        <v>186336000</v>
      </c>
      <c r="W60" s="341">
        <v>675</v>
      </c>
      <c r="X60" s="353">
        <f t="shared" si="9"/>
        <v>-225</v>
      </c>
    </row>
    <row r="61" spans="1:24" s="217" customFormat="1" ht="49.5" customHeight="1" thickBot="1">
      <c r="A61" s="254">
        <v>43</v>
      </c>
      <c r="B61" s="401" t="s">
        <v>320</v>
      </c>
      <c r="C61" s="356" t="s">
        <v>232</v>
      </c>
      <c r="D61" s="369" t="s">
        <v>143</v>
      </c>
      <c r="E61" s="364">
        <v>3</v>
      </c>
      <c r="F61" s="370">
        <v>3940.06</v>
      </c>
      <c r="G61" s="371">
        <f t="shared" si="0"/>
        <v>11820.18</v>
      </c>
      <c r="H61" s="373"/>
      <c r="I61" s="364">
        <v>84186990</v>
      </c>
      <c r="J61" s="376">
        <f t="shared" si="1"/>
        <v>101968752.8</v>
      </c>
      <c r="K61" s="365">
        <v>104517950</v>
      </c>
      <c r="L61" s="377">
        <f t="shared" si="2"/>
        <v>305906258.40000004</v>
      </c>
      <c r="M61" s="380">
        <v>0</v>
      </c>
      <c r="N61" s="378">
        <f t="shared" si="6"/>
        <v>0</v>
      </c>
      <c r="O61" s="382">
        <f t="shared" si="7"/>
        <v>305906258.40000004</v>
      </c>
      <c r="P61" s="380">
        <v>0.08</v>
      </c>
      <c r="Q61" s="378">
        <f t="shared" si="8"/>
        <v>24472500.672000002</v>
      </c>
      <c r="R61" s="214">
        <v>157</v>
      </c>
      <c r="S61" s="214">
        <f t="shared" si="11"/>
        <v>75.287770700636941</v>
      </c>
      <c r="T61" s="215">
        <f t="shared" si="12"/>
        <v>305906258.40000004</v>
      </c>
      <c r="U61" s="216">
        <v>17</v>
      </c>
      <c r="V61" s="213">
        <f t="shared" si="13"/>
        <v>5200406392.8000002</v>
      </c>
      <c r="W61" s="341">
        <v>189</v>
      </c>
      <c r="X61" s="353">
        <f t="shared" si="9"/>
        <v>11631.18</v>
      </c>
    </row>
    <row r="62" spans="1:24" s="217" customFormat="1" ht="49.5" customHeight="1" thickBot="1">
      <c r="A62" s="254">
        <v>44</v>
      </c>
      <c r="B62" s="401" t="s">
        <v>321</v>
      </c>
      <c r="C62" s="356" t="s">
        <v>426</v>
      </c>
      <c r="D62" s="369" t="s">
        <v>143</v>
      </c>
      <c r="E62" s="364">
        <v>400</v>
      </c>
      <c r="F62" s="370">
        <v>19.98</v>
      </c>
      <c r="G62" s="371">
        <f t="shared" si="0"/>
        <v>7992</v>
      </c>
      <c r="H62" s="373"/>
      <c r="I62" s="364">
        <v>90191010</v>
      </c>
      <c r="J62" s="376">
        <f t="shared" si="1"/>
        <v>517082.4</v>
      </c>
      <c r="K62" s="365">
        <v>530000</v>
      </c>
      <c r="L62" s="377">
        <f t="shared" si="2"/>
        <v>206832960</v>
      </c>
      <c r="M62" s="380">
        <v>0</v>
      </c>
      <c r="N62" s="371">
        <f t="shared" si="6"/>
        <v>0</v>
      </c>
      <c r="O62" s="382">
        <f t="shared" si="7"/>
        <v>206832960</v>
      </c>
      <c r="P62" s="380">
        <v>0.08</v>
      </c>
      <c r="Q62" s="378">
        <f t="shared" si="8"/>
        <v>16546636.800000001</v>
      </c>
      <c r="R62" s="214">
        <v>158</v>
      </c>
      <c r="S62" s="214">
        <f t="shared" si="11"/>
        <v>50.582278481012658</v>
      </c>
      <c r="T62" s="215">
        <f t="shared" si="12"/>
        <v>206832960</v>
      </c>
      <c r="U62" s="216">
        <v>18</v>
      </c>
      <c r="V62" s="213">
        <f t="shared" si="13"/>
        <v>3722993280</v>
      </c>
      <c r="W62" s="341">
        <v>147</v>
      </c>
      <c r="X62" s="353">
        <f t="shared" si="9"/>
        <v>7845</v>
      </c>
    </row>
    <row r="63" spans="1:24" s="217" customFormat="1" ht="49.5" customHeight="1" thickBot="1">
      <c r="A63" s="254">
        <v>45</v>
      </c>
      <c r="B63" s="431" t="s">
        <v>322</v>
      </c>
      <c r="C63" s="356" t="s">
        <v>233</v>
      </c>
      <c r="D63" s="369" t="s">
        <v>143</v>
      </c>
      <c r="E63" s="364">
        <v>400</v>
      </c>
      <c r="F63" s="370">
        <v>10.41</v>
      </c>
      <c r="G63" s="371">
        <f t="shared" si="0"/>
        <v>4164</v>
      </c>
      <c r="H63" s="373"/>
      <c r="I63" s="364">
        <v>73241010</v>
      </c>
      <c r="J63" s="376">
        <f t="shared" si="1"/>
        <v>269410.8</v>
      </c>
      <c r="K63" s="365">
        <v>289880</v>
      </c>
      <c r="L63" s="377">
        <f t="shared" si="2"/>
        <v>107764320</v>
      </c>
      <c r="M63" s="381">
        <v>0.05</v>
      </c>
      <c r="N63" s="371">
        <f t="shared" si="6"/>
        <v>5388216</v>
      </c>
      <c r="O63" s="382">
        <f t="shared" si="7"/>
        <v>113152536</v>
      </c>
      <c r="P63" s="380">
        <v>0.08</v>
      </c>
      <c r="Q63" s="378">
        <f t="shared" si="8"/>
        <v>9052202.8800000008</v>
      </c>
      <c r="R63" s="214">
        <v>159</v>
      </c>
      <c r="S63" s="214">
        <f t="shared" si="11"/>
        <v>26.188679245283019</v>
      </c>
      <c r="T63" s="215">
        <f t="shared" si="12"/>
        <v>107764320</v>
      </c>
      <c r="U63" s="216">
        <v>19</v>
      </c>
      <c r="V63" s="213">
        <f t="shared" si="13"/>
        <v>2047522080</v>
      </c>
      <c r="W63" s="341">
        <v>177</v>
      </c>
      <c r="X63" s="353">
        <f t="shared" si="9"/>
        <v>3987</v>
      </c>
    </row>
    <row r="64" spans="1:24" s="217" customFormat="1" ht="49.5" customHeight="1" thickBot="1">
      <c r="A64" s="254">
        <v>46</v>
      </c>
      <c r="B64" s="431"/>
      <c r="C64" s="356" t="s">
        <v>234</v>
      </c>
      <c r="D64" s="369" t="s">
        <v>143</v>
      </c>
      <c r="E64" s="364">
        <v>200</v>
      </c>
      <c r="F64" s="370">
        <v>10.77</v>
      </c>
      <c r="G64" s="371">
        <f t="shared" si="0"/>
        <v>2154</v>
      </c>
      <c r="H64" s="373"/>
      <c r="I64" s="364">
        <v>73241010</v>
      </c>
      <c r="J64" s="376">
        <f t="shared" si="1"/>
        <v>278727.59999999998</v>
      </c>
      <c r="K64" s="365">
        <v>300000</v>
      </c>
      <c r="L64" s="377">
        <f t="shared" si="2"/>
        <v>55745520</v>
      </c>
      <c r="M64" s="381">
        <v>0.05</v>
      </c>
      <c r="N64" s="378">
        <f t="shared" si="6"/>
        <v>2787276</v>
      </c>
      <c r="O64" s="382">
        <f t="shared" si="7"/>
        <v>58532796</v>
      </c>
      <c r="P64" s="380">
        <v>0.08</v>
      </c>
      <c r="Q64" s="378">
        <f t="shared" si="8"/>
        <v>4682623.68</v>
      </c>
      <c r="R64" s="214">
        <v>160</v>
      </c>
      <c r="S64" s="214">
        <f t="shared" si="11"/>
        <v>13.4625</v>
      </c>
      <c r="T64" s="215">
        <f t="shared" si="12"/>
        <v>55745520</v>
      </c>
      <c r="U64" s="216">
        <v>20</v>
      </c>
      <c r="V64" s="213">
        <f t="shared" si="13"/>
        <v>1114910400</v>
      </c>
      <c r="W64" s="341">
        <v>367.5</v>
      </c>
      <c r="X64" s="353">
        <f t="shared" si="9"/>
        <v>1786.5</v>
      </c>
    </row>
    <row r="65" spans="1:24" s="217" customFormat="1" ht="49.5" customHeight="1" thickBot="1">
      <c r="A65" s="254">
        <v>47</v>
      </c>
      <c r="B65" s="431"/>
      <c r="C65" s="356" t="s">
        <v>235</v>
      </c>
      <c r="D65" s="369" t="s">
        <v>143</v>
      </c>
      <c r="E65" s="364">
        <v>400</v>
      </c>
      <c r="F65" s="370">
        <v>11.09</v>
      </c>
      <c r="G65" s="371">
        <f t="shared" si="0"/>
        <v>4436</v>
      </c>
      <c r="H65" s="373"/>
      <c r="I65" s="364">
        <v>73241010</v>
      </c>
      <c r="J65" s="376">
        <f t="shared" si="1"/>
        <v>287009.2</v>
      </c>
      <c r="K65" s="365">
        <v>308906</v>
      </c>
      <c r="L65" s="377">
        <f t="shared" si="2"/>
        <v>114803680</v>
      </c>
      <c r="M65" s="381">
        <v>0.05</v>
      </c>
      <c r="N65" s="378">
        <f t="shared" si="6"/>
        <v>5740184</v>
      </c>
      <c r="O65" s="382">
        <f t="shared" si="7"/>
        <v>120543864</v>
      </c>
      <c r="P65" s="380">
        <v>0.08</v>
      </c>
      <c r="Q65" s="378">
        <f t="shared" si="8"/>
        <v>9643509.120000001</v>
      </c>
      <c r="R65" s="214">
        <v>161</v>
      </c>
      <c r="S65" s="214">
        <f t="shared" si="11"/>
        <v>27.552795031055901</v>
      </c>
      <c r="T65" s="215">
        <f t="shared" si="12"/>
        <v>114803680</v>
      </c>
      <c r="U65" s="216">
        <v>21</v>
      </c>
      <c r="V65" s="213">
        <f t="shared" si="13"/>
        <v>2410877280</v>
      </c>
      <c r="W65" s="341">
        <v>481.5</v>
      </c>
      <c r="X65" s="353">
        <f t="shared" si="9"/>
        <v>3954.5</v>
      </c>
    </row>
    <row r="66" spans="1:24" s="217" customFormat="1" ht="49.5" customHeight="1" thickBot="1">
      <c r="A66" s="254">
        <v>48</v>
      </c>
      <c r="B66" s="431"/>
      <c r="C66" s="356" t="s">
        <v>236</v>
      </c>
      <c r="D66" s="369" t="s">
        <v>143</v>
      </c>
      <c r="E66" s="364">
        <v>200</v>
      </c>
      <c r="F66" s="370">
        <v>14.36</v>
      </c>
      <c r="G66" s="371">
        <f t="shared" si="0"/>
        <v>2872</v>
      </c>
      <c r="H66" s="373"/>
      <c r="I66" s="364">
        <v>73241010</v>
      </c>
      <c r="J66" s="376">
        <f t="shared" si="1"/>
        <v>371636.8</v>
      </c>
      <c r="K66" s="365">
        <v>400000</v>
      </c>
      <c r="L66" s="377">
        <f t="shared" si="2"/>
        <v>74327360</v>
      </c>
      <c r="M66" s="381">
        <v>0.05</v>
      </c>
      <c r="N66" s="378">
        <f t="shared" si="6"/>
        <v>3716368</v>
      </c>
      <c r="O66" s="382">
        <f t="shared" si="7"/>
        <v>78043728</v>
      </c>
      <c r="P66" s="380">
        <v>0.08</v>
      </c>
      <c r="Q66" s="378">
        <f t="shared" si="8"/>
        <v>6243498.2400000002</v>
      </c>
      <c r="R66" s="214">
        <v>162</v>
      </c>
      <c r="S66" s="214">
        <f t="shared" si="11"/>
        <v>17.728395061728396</v>
      </c>
      <c r="T66" s="215">
        <f t="shared" si="12"/>
        <v>74327360</v>
      </c>
      <c r="U66" s="216">
        <v>22</v>
      </c>
      <c r="V66" s="213">
        <f t="shared" si="13"/>
        <v>1635201920</v>
      </c>
      <c r="W66" s="341">
        <v>600</v>
      </c>
      <c r="X66" s="353">
        <f t="shared" si="9"/>
        <v>2272</v>
      </c>
    </row>
    <row r="67" spans="1:24" s="217" customFormat="1" ht="49.5" customHeight="1" thickBot="1">
      <c r="A67" s="254">
        <v>49</v>
      </c>
      <c r="B67" s="431"/>
      <c r="C67" s="357" t="s">
        <v>237</v>
      </c>
      <c r="D67" s="369" t="s">
        <v>143</v>
      </c>
      <c r="E67" s="364">
        <v>60</v>
      </c>
      <c r="F67" s="370">
        <v>34.07</v>
      </c>
      <c r="G67" s="371">
        <f t="shared" si="0"/>
        <v>2044.2</v>
      </c>
      <c r="H67" s="373"/>
      <c r="I67" s="364">
        <v>73241010</v>
      </c>
      <c r="J67" s="376">
        <f t="shared" si="1"/>
        <v>881731.6</v>
      </c>
      <c r="K67" s="367">
        <v>949020</v>
      </c>
      <c r="L67" s="377">
        <f t="shared" si="2"/>
        <v>52903896</v>
      </c>
      <c r="M67" s="381">
        <v>0.05</v>
      </c>
      <c r="N67" s="378">
        <f t="shared" si="6"/>
        <v>2645194.8000000003</v>
      </c>
      <c r="O67" s="382">
        <f t="shared" si="7"/>
        <v>55549090.799999997</v>
      </c>
      <c r="P67" s="380">
        <v>0.08</v>
      </c>
      <c r="Q67" s="378">
        <f t="shared" si="8"/>
        <v>4443927.2639999995</v>
      </c>
      <c r="R67" s="214">
        <v>163</v>
      </c>
      <c r="S67" s="214">
        <f t="shared" si="11"/>
        <v>12.541104294478528</v>
      </c>
      <c r="T67" s="215">
        <f t="shared" si="12"/>
        <v>52903896</v>
      </c>
      <c r="U67" s="216">
        <v>23</v>
      </c>
      <c r="V67" s="213">
        <f t="shared" si="13"/>
        <v>1216789608</v>
      </c>
      <c r="W67" s="341">
        <v>360</v>
      </c>
      <c r="X67" s="353">
        <f t="shared" si="9"/>
        <v>1684.2</v>
      </c>
    </row>
    <row r="68" spans="1:24" s="217" customFormat="1" ht="49.5" customHeight="1" thickBot="1">
      <c r="A68" s="254">
        <v>50</v>
      </c>
      <c r="B68" s="431"/>
      <c r="C68" s="356" t="s">
        <v>238</v>
      </c>
      <c r="D68" s="369" t="s">
        <v>143</v>
      </c>
      <c r="E68" s="364">
        <v>100</v>
      </c>
      <c r="F68" s="370">
        <v>16.850000000000001</v>
      </c>
      <c r="G68" s="371">
        <f t="shared" si="0"/>
        <v>1685.0000000000002</v>
      </c>
      <c r="H68" s="373"/>
      <c r="I68" s="364">
        <v>73241010</v>
      </c>
      <c r="J68" s="376">
        <f t="shared" si="1"/>
        <v>436078.00000000006</v>
      </c>
      <c r="K68" s="365">
        <v>469300</v>
      </c>
      <c r="L68" s="377">
        <f t="shared" si="2"/>
        <v>43607800.000000007</v>
      </c>
      <c r="M68" s="381">
        <v>0.05</v>
      </c>
      <c r="N68" s="378">
        <f t="shared" si="6"/>
        <v>2180390.0000000005</v>
      </c>
      <c r="O68" s="382">
        <f t="shared" si="7"/>
        <v>45788190.000000007</v>
      </c>
      <c r="P68" s="380">
        <v>0.08</v>
      </c>
      <c r="Q68" s="378">
        <f t="shared" si="8"/>
        <v>3663055.2000000007</v>
      </c>
      <c r="R68" s="214">
        <v>164</v>
      </c>
      <c r="S68" s="214">
        <f t="shared" si="11"/>
        <v>10.27439024390244</v>
      </c>
      <c r="T68" s="215">
        <f t="shared" si="12"/>
        <v>43607800.000000007</v>
      </c>
      <c r="U68" s="216">
        <v>24</v>
      </c>
      <c r="V68" s="213">
        <f t="shared" si="13"/>
        <v>1046587200.0000002</v>
      </c>
      <c r="W68" s="341">
        <v>484</v>
      </c>
      <c r="X68" s="353">
        <f t="shared" si="9"/>
        <v>1201.0000000000002</v>
      </c>
    </row>
    <row r="69" spans="1:24" s="217" customFormat="1" ht="49.5" customHeight="1" thickBot="1">
      <c r="A69" s="254">
        <v>51</v>
      </c>
      <c r="B69" s="431"/>
      <c r="C69" s="356" t="s">
        <v>239</v>
      </c>
      <c r="D69" s="369" t="s">
        <v>143</v>
      </c>
      <c r="E69" s="364">
        <v>100</v>
      </c>
      <c r="F69" s="370">
        <v>20.46</v>
      </c>
      <c r="G69" s="371">
        <f t="shared" si="0"/>
        <v>2046</v>
      </c>
      <c r="H69" s="373"/>
      <c r="I69" s="364">
        <v>73241010</v>
      </c>
      <c r="J69" s="376">
        <f t="shared" si="1"/>
        <v>529504.80000000005</v>
      </c>
      <c r="K69" s="365">
        <v>569850</v>
      </c>
      <c r="L69" s="377">
        <f t="shared" si="2"/>
        <v>52950480</v>
      </c>
      <c r="M69" s="381">
        <v>0.05</v>
      </c>
      <c r="N69" s="378">
        <f t="shared" si="6"/>
        <v>2647524</v>
      </c>
      <c r="O69" s="382">
        <f t="shared" si="7"/>
        <v>55598004</v>
      </c>
      <c r="P69" s="380">
        <v>0.08</v>
      </c>
      <c r="Q69" s="378">
        <f t="shared" si="8"/>
        <v>4447840.32</v>
      </c>
      <c r="R69" s="214">
        <v>165</v>
      </c>
      <c r="S69" s="214">
        <f t="shared" si="11"/>
        <v>12.4</v>
      </c>
      <c r="T69" s="215">
        <f t="shared" si="12"/>
        <v>52950480</v>
      </c>
      <c r="U69" s="216">
        <v>25</v>
      </c>
      <c r="V69" s="213">
        <f t="shared" si="13"/>
        <v>1323762000</v>
      </c>
      <c r="W69" s="341">
        <v>588</v>
      </c>
      <c r="X69" s="353">
        <f t="shared" si="9"/>
        <v>1458</v>
      </c>
    </row>
    <row r="70" spans="1:24" s="217" customFormat="1" ht="49.5" customHeight="1" thickBot="1">
      <c r="A70" s="254">
        <v>52</v>
      </c>
      <c r="B70" s="401" t="s">
        <v>323</v>
      </c>
      <c r="C70" s="356" t="s">
        <v>240</v>
      </c>
      <c r="D70" s="369" t="s">
        <v>143</v>
      </c>
      <c r="E70" s="365">
        <v>5000</v>
      </c>
      <c r="F70" s="370">
        <v>0.94</v>
      </c>
      <c r="G70" s="371">
        <f t="shared" si="0"/>
        <v>4700</v>
      </c>
      <c r="H70" s="373"/>
      <c r="I70" s="364">
        <v>85437029</v>
      </c>
      <c r="J70" s="376">
        <f t="shared" si="1"/>
        <v>24327.199999999997</v>
      </c>
      <c r="K70" s="365">
        <v>25000</v>
      </c>
      <c r="L70" s="377">
        <f t="shared" si="2"/>
        <v>121636000</v>
      </c>
      <c r="M70" s="380">
        <v>0</v>
      </c>
      <c r="N70" s="378">
        <f t="shared" si="6"/>
        <v>0</v>
      </c>
      <c r="O70" s="382">
        <f t="shared" si="7"/>
        <v>121636000</v>
      </c>
      <c r="P70" s="380">
        <v>0.08</v>
      </c>
      <c r="Q70" s="378">
        <f t="shared" si="8"/>
        <v>9730880</v>
      </c>
      <c r="R70" s="214">
        <v>166</v>
      </c>
      <c r="S70" s="214">
        <f t="shared" si="11"/>
        <v>28.313253012048193</v>
      </c>
      <c r="T70" s="215">
        <f t="shared" si="12"/>
        <v>121636000</v>
      </c>
      <c r="U70" s="216">
        <v>26</v>
      </c>
      <c r="V70" s="213">
        <f t="shared" si="13"/>
        <v>3162536000</v>
      </c>
      <c r="W70" s="341">
        <v>632</v>
      </c>
      <c r="X70" s="353">
        <f t="shared" si="9"/>
        <v>4068</v>
      </c>
    </row>
    <row r="71" spans="1:24" s="217" customFormat="1" ht="49.5" customHeight="1" thickBot="1">
      <c r="A71" s="254">
        <v>53</v>
      </c>
      <c r="B71" s="431" t="s">
        <v>324</v>
      </c>
      <c r="C71" s="356" t="s">
        <v>241</v>
      </c>
      <c r="D71" s="369" t="s">
        <v>154</v>
      </c>
      <c r="E71" s="364">
        <v>200</v>
      </c>
      <c r="F71" s="370">
        <v>5.65</v>
      </c>
      <c r="G71" s="371">
        <f t="shared" si="0"/>
        <v>1130</v>
      </c>
      <c r="H71" s="373"/>
      <c r="I71" s="364">
        <v>85437029</v>
      </c>
      <c r="J71" s="376">
        <f t="shared" si="1"/>
        <v>146222</v>
      </c>
      <c r="K71" s="365">
        <v>150000</v>
      </c>
      <c r="L71" s="377">
        <f t="shared" si="2"/>
        <v>29244400</v>
      </c>
      <c r="M71" s="380">
        <v>0</v>
      </c>
      <c r="N71" s="378">
        <f t="shared" si="6"/>
        <v>0</v>
      </c>
      <c r="O71" s="382">
        <f t="shared" si="7"/>
        <v>29244400</v>
      </c>
      <c r="P71" s="380">
        <v>0.08</v>
      </c>
      <c r="Q71" s="378">
        <f t="shared" si="8"/>
        <v>2339552</v>
      </c>
      <c r="R71" s="214">
        <v>167</v>
      </c>
      <c r="S71" s="214">
        <f t="shared" si="11"/>
        <v>6.7664670658682633</v>
      </c>
      <c r="T71" s="215">
        <f t="shared" si="12"/>
        <v>29244400</v>
      </c>
      <c r="U71" s="216">
        <v>27</v>
      </c>
      <c r="V71" s="213">
        <f t="shared" si="13"/>
        <v>789598800</v>
      </c>
      <c r="W71" s="341">
        <v>980</v>
      </c>
      <c r="X71" s="353">
        <f t="shared" si="9"/>
        <v>150</v>
      </c>
    </row>
    <row r="72" spans="1:24" s="217" customFormat="1" ht="49.5" customHeight="1" thickBot="1">
      <c r="A72" s="254">
        <v>54</v>
      </c>
      <c r="B72" s="431"/>
      <c r="C72" s="356" t="s">
        <v>242</v>
      </c>
      <c r="D72" s="369" t="s">
        <v>154</v>
      </c>
      <c r="E72" s="364">
        <v>500</v>
      </c>
      <c r="F72" s="370">
        <v>7.54</v>
      </c>
      <c r="G72" s="371">
        <f t="shared" si="0"/>
        <v>3770</v>
      </c>
      <c r="H72" s="373"/>
      <c r="I72" s="364">
        <v>85437029</v>
      </c>
      <c r="J72" s="376">
        <f t="shared" si="1"/>
        <v>195135.2</v>
      </c>
      <c r="K72" s="365">
        <v>200000</v>
      </c>
      <c r="L72" s="377">
        <f t="shared" si="2"/>
        <v>97567600</v>
      </c>
      <c r="M72" s="380">
        <v>0</v>
      </c>
      <c r="N72" s="378">
        <f t="shared" si="6"/>
        <v>0</v>
      </c>
      <c r="O72" s="382">
        <f t="shared" si="7"/>
        <v>97567600</v>
      </c>
      <c r="P72" s="380">
        <v>0.08</v>
      </c>
      <c r="Q72" s="378">
        <f t="shared" si="8"/>
        <v>7805408</v>
      </c>
      <c r="R72" s="214">
        <v>168</v>
      </c>
      <c r="S72" s="214">
        <f t="shared" si="11"/>
        <v>22.44047619047619</v>
      </c>
      <c r="T72" s="215">
        <f t="shared" si="12"/>
        <v>97567600</v>
      </c>
      <c r="U72" s="216">
        <v>28</v>
      </c>
      <c r="V72" s="213">
        <f t="shared" si="13"/>
        <v>2731892800</v>
      </c>
      <c r="W72" s="341">
        <v>82</v>
      </c>
      <c r="X72" s="353">
        <f t="shared" si="9"/>
        <v>3688</v>
      </c>
    </row>
    <row r="73" spans="1:24" s="217" customFormat="1" ht="49.5" customHeight="1" thickBot="1">
      <c r="A73" s="254">
        <v>55</v>
      </c>
      <c r="B73" s="431" t="s">
        <v>325</v>
      </c>
      <c r="C73" s="357" t="s">
        <v>243</v>
      </c>
      <c r="D73" s="369" t="s">
        <v>143</v>
      </c>
      <c r="E73" s="365">
        <v>1000</v>
      </c>
      <c r="F73" s="370">
        <v>0.68</v>
      </c>
      <c r="G73" s="371">
        <f t="shared" si="0"/>
        <v>680</v>
      </c>
      <c r="H73" s="373"/>
      <c r="I73" s="364">
        <v>85365096</v>
      </c>
      <c r="J73" s="376">
        <f t="shared" si="1"/>
        <v>17598.400000000001</v>
      </c>
      <c r="K73" s="365">
        <v>18000</v>
      </c>
      <c r="L73" s="377">
        <f t="shared" si="2"/>
        <v>17598400</v>
      </c>
      <c r="M73" s="380">
        <v>0</v>
      </c>
      <c r="N73" s="378">
        <f t="shared" si="6"/>
        <v>0</v>
      </c>
      <c r="O73" s="382">
        <f t="shared" si="7"/>
        <v>17598400</v>
      </c>
      <c r="P73" s="380">
        <v>0.08</v>
      </c>
      <c r="Q73" s="378">
        <f t="shared" si="8"/>
        <v>1407872</v>
      </c>
      <c r="R73" s="214">
        <v>169</v>
      </c>
      <c r="S73" s="214">
        <f t="shared" si="11"/>
        <v>4.0236686390532546</v>
      </c>
      <c r="T73" s="215">
        <f t="shared" si="12"/>
        <v>17598400</v>
      </c>
      <c r="U73" s="216">
        <v>29</v>
      </c>
      <c r="V73" s="213">
        <f t="shared" si="13"/>
        <v>510353600</v>
      </c>
      <c r="W73" s="341">
        <v>189</v>
      </c>
      <c r="X73" s="353">
        <f t="shared" si="9"/>
        <v>491</v>
      </c>
    </row>
    <row r="74" spans="1:24" s="217" customFormat="1" ht="49.5" customHeight="1" thickBot="1">
      <c r="A74" s="254">
        <v>56</v>
      </c>
      <c r="B74" s="431"/>
      <c r="C74" s="357" t="s">
        <v>244</v>
      </c>
      <c r="D74" s="369" t="s">
        <v>143</v>
      </c>
      <c r="E74" s="365">
        <v>4000</v>
      </c>
      <c r="F74" s="370">
        <v>0.75</v>
      </c>
      <c r="G74" s="371">
        <f t="shared" si="0"/>
        <v>3000</v>
      </c>
      <c r="H74" s="373"/>
      <c r="I74" s="364">
        <v>85365096</v>
      </c>
      <c r="J74" s="376">
        <f t="shared" si="1"/>
        <v>19410</v>
      </c>
      <c r="K74" s="365">
        <v>20000</v>
      </c>
      <c r="L74" s="377">
        <f t="shared" si="2"/>
        <v>77640000</v>
      </c>
      <c r="M74" s="380">
        <v>0</v>
      </c>
      <c r="N74" s="378">
        <f t="shared" si="6"/>
        <v>0</v>
      </c>
      <c r="O74" s="382">
        <f t="shared" si="7"/>
        <v>77640000</v>
      </c>
      <c r="P74" s="380">
        <v>0.08</v>
      </c>
      <c r="Q74" s="378">
        <f t="shared" si="8"/>
        <v>6211200</v>
      </c>
      <c r="R74" s="214">
        <v>170</v>
      </c>
      <c r="S74" s="214">
        <f t="shared" si="11"/>
        <v>17.647058823529413</v>
      </c>
      <c r="T74" s="215">
        <f t="shared" si="12"/>
        <v>77640000</v>
      </c>
      <c r="U74" s="216">
        <v>30</v>
      </c>
      <c r="V74" s="213">
        <f t="shared" si="13"/>
        <v>2329200000</v>
      </c>
      <c r="W74" s="341">
        <v>94</v>
      </c>
      <c r="X74" s="353">
        <f t="shared" si="9"/>
        <v>2906</v>
      </c>
    </row>
    <row r="75" spans="1:24" s="217" customFormat="1" ht="49.5" customHeight="1" thickBot="1">
      <c r="A75" s="254">
        <v>57</v>
      </c>
      <c r="B75" s="401" t="s">
        <v>326</v>
      </c>
      <c r="C75" s="356" t="s">
        <v>245</v>
      </c>
      <c r="D75" s="369" t="s">
        <v>154</v>
      </c>
      <c r="E75" s="365">
        <v>2000</v>
      </c>
      <c r="F75" s="370">
        <v>1.7</v>
      </c>
      <c r="G75" s="371">
        <f t="shared" si="0"/>
        <v>3400</v>
      </c>
      <c r="H75" s="373"/>
      <c r="I75" s="364">
        <v>85044090</v>
      </c>
      <c r="J75" s="376">
        <f t="shared" si="1"/>
        <v>43996</v>
      </c>
      <c r="K75" s="365">
        <v>45000</v>
      </c>
      <c r="L75" s="377">
        <f t="shared" si="2"/>
        <v>87992000</v>
      </c>
      <c r="M75" s="380">
        <v>0</v>
      </c>
      <c r="N75" s="378">
        <f t="shared" si="6"/>
        <v>0</v>
      </c>
      <c r="O75" s="382">
        <f t="shared" si="7"/>
        <v>87992000</v>
      </c>
      <c r="P75" s="380">
        <v>0.08</v>
      </c>
      <c r="Q75" s="378">
        <f t="shared" si="8"/>
        <v>7039360</v>
      </c>
      <c r="R75" s="214">
        <v>171</v>
      </c>
      <c r="S75" s="214">
        <f t="shared" si="11"/>
        <v>19.883040935672515</v>
      </c>
      <c r="T75" s="215">
        <f t="shared" si="12"/>
        <v>87992000</v>
      </c>
      <c r="U75" s="216">
        <v>31</v>
      </c>
      <c r="V75" s="213">
        <f t="shared" si="13"/>
        <v>2727752000</v>
      </c>
      <c r="W75" s="341">
        <v>1920</v>
      </c>
      <c r="X75" s="353">
        <f t="shared" si="9"/>
        <v>1480</v>
      </c>
    </row>
    <row r="76" spans="1:24" s="217" customFormat="1" ht="49.5" customHeight="1" thickBot="1">
      <c r="A76" s="254">
        <v>58</v>
      </c>
      <c r="B76" s="431" t="s">
        <v>327</v>
      </c>
      <c r="C76" s="356" t="s">
        <v>246</v>
      </c>
      <c r="D76" s="369" t="s">
        <v>143</v>
      </c>
      <c r="E76" s="364">
        <v>800</v>
      </c>
      <c r="F76" s="370">
        <v>0.17</v>
      </c>
      <c r="G76" s="371">
        <f t="shared" si="0"/>
        <v>136</v>
      </c>
      <c r="H76" s="373"/>
      <c r="I76" s="364">
        <v>39262090</v>
      </c>
      <c r="J76" s="376">
        <f t="shared" si="1"/>
        <v>4399.6000000000004</v>
      </c>
      <c r="K76" s="365">
        <v>4500</v>
      </c>
      <c r="L76" s="377">
        <f t="shared" si="2"/>
        <v>3519680</v>
      </c>
      <c r="M76" s="380">
        <v>0</v>
      </c>
      <c r="N76" s="378">
        <f t="shared" si="6"/>
        <v>0</v>
      </c>
      <c r="O76" s="382">
        <f t="shared" si="7"/>
        <v>3519680</v>
      </c>
      <c r="P76" s="380">
        <v>0.08</v>
      </c>
      <c r="Q76" s="378">
        <f t="shared" si="8"/>
        <v>281574.40000000002</v>
      </c>
      <c r="R76" s="214">
        <v>172</v>
      </c>
      <c r="S76" s="214">
        <f t="shared" si="11"/>
        <v>0.79069767441860461</v>
      </c>
      <c r="T76" s="215">
        <f t="shared" si="12"/>
        <v>3519680</v>
      </c>
      <c r="U76" s="216">
        <v>32</v>
      </c>
      <c r="V76" s="213">
        <f t="shared" si="13"/>
        <v>112629760</v>
      </c>
      <c r="W76" s="341">
        <v>493.2</v>
      </c>
      <c r="X76" s="353">
        <f t="shared" si="9"/>
        <v>-357.2</v>
      </c>
    </row>
    <row r="77" spans="1:24" s="217" customFormat="1" ht="49.5" customHeight="1" thickBot="1">
      <c r="A77" s="254">
        <v>59</v>
      </c>
      <c r="B77" s="431"/>
      <c r="C77" s="356" t="s">
        <v>247</v>
      </c>
      <c r="D77" s="369" t="s">
        <v>143</v>
      </c>
      <c r="E77" s="364">
        <v>200</v>
      </c>
      <c r="F77" s="370">
        <v>0.188</v>
      </c>
      <c r="G77" s="371">
        <f t="shared" si="0"/>
        <v>37.6</v>
      </c>
      <c r="H77" s="373"/>
      <c r="I77" s="364">
        <v>39262090</v>
      </c>
      <c r="J77" s="376">
        <f t="shared" si="1"/>
        <v>4865.4399999999996</v>
      </c>
      <c r="K77" s="365">
        <v>5000</v>
      </c>
      <c r="L77" s="377">
        <f t="shared" si="2"/>
        <v>973088</v>
      </c>
      <c r="M77" s="380">
        <v>0</v>
      </c>
      <c r="N77" s="378">
        <f t="shared" si="6"/>
        <v>0</v>
      </c>
      <c r="O77" s="382">
        <f t="shared" si="7"/>
        <v>973088</v>
      </c>
      <c r="P77" s="380">
        <v>0.08</v>
      </c>
      <c r="Q77" s="378">
        <f t="shared" si="8"/>
        <v>77847.040000000008</v>
      </c>
      <c r="R77" s="214">
        <v>173</v>
      </c>
      <c r="S77" s="214">
        <f t="shared" si="11"/>
        <v>0.21734104046242775</v>
      </c>
      <c r="T77" s="215">
        <f t="shared" si="12"/>
        <v>973088</v>
      </c>
      <c r="U77" s="216">
        <v>33</v>
      </c>
      <c r="V77" s="213">
        <f t="shared" si="13"/>
        <v>32111904</v>
      </c>
      <c r="W77" s="341">
        <v>527</v>
      </c>
      <c r="X77" s="353">
        <f t="shared" si="9"/>
        <v>-489.4</v>
      </c>
    </row>
    <row r="78" spans="1:24" s="217" customFormat="1" ht="49.5" customHeight="1" thickBot="1">
      <c r="A78" s="254">
        <v>60</v>
      </c>
      <c r="B78" s="431"/>
      <c r="C78" s="356" t="s">
        <v>419</v>
      </c>
      <c r="D78" s="369" t="s">
        <v>143</v>
      </c>
      <c r="E78" s="364">
        <v>100</v>
      </c>
      <c r="F78" s="370">
        <v>0.188</v>
      </c>
      <c r="G78" s="371">
        <f t="shared" si="0"/>
        <v>18.8</v>
      </c>
      <c r="H78" s="373"/>
      <c r="I78" s="364">
        <v>39262090</v>
      </c>
      <c r="J78" s="376">
        <f t="shared" si="1"/>
        <v>4865.4399999999996</v>
      </c>
      <c r="K78" s="365">
        <v>5000</v>
      </c>
      <c r="L78" s="377">
        <f t="shared" si="2"/>
        <v>486544</v>
      </c>
      <c r="M78" s="380">
        <v>0</v>
      </c>
      <c r="N78" s="378">
        <f t="shared" si="6"/>
        <v>0</v>
      </c>
      <c r="O78" s="382">
        <f t="shared" si="7"/>
        <v>486544</v>
      </c>
      <c r="P78" s="380">
        <v>0.08</v>
      </c>
      <c r="Q78" s="378">
        <f t="shared" si="8"/>
        <v>38923.520000000004</v>
      </c>
      <c r="R78" s="214">
        <v>174</v>
      </c>
      <c r="S78" s="214">
        <f t="shared" si="11"/>
        <v>0.10804597701149425</v>
      </c>
      <c r="T78" s="215">
        <f t="shared" si="12"/>
        <v>486544</v>
      </c>
      <c r="U78" s="216">
        <v>34</v>
      </c>
      <c r="V78" s="213">
        <f t="shared" si="13"/>
        <v>16542496</v>
      </c>
      <c r="W78" s="341">
        <v>150</v>
      </c>
      <c r="X78" s="353">
        <f t="shared" si="9"/>
        <v>-131.19999999999999</v>
      </c>
    </row>
    <row r="79" spans="1:24" s="217" customFormat="1" ht="49.5" customHeight="1" thickBot="1">
      <c r="A79" s="254">
        <v>61</v>
      </c>
      <c r="B79" s="401" t="s">
        <v>328</v>
      </c>
      <c r="C79" s="356" t="s">
        <v>248</v>
      </c>
      <c r="D79" s="369" t="s">
        <v>143</v>
      </c>
      <c r="E79" s="364">
        <v>100</v>
      </c>
      <c r="F79" s="370">
        <v>27.14</v>
      </c>
      <c r="G79" s="371">
        <f t="shared" si="0"/>
        <v>2714</v>
      </c>
      <c r="H79" s="373"/>
      <c r="I79" s="364">
        <v>39222000</v>
      </c>
      <c r="J79" s="376">
        <f t="shared" si="1"/>
        <v>702383.20000000007</v>
      </c>
      <c r="K79" s="365">
        <v>720000</v>
      </c>
      <c r="L79" s="377">
        <f t="shared" si="2"/>
        <v>70238320</v>
      </c>
      <c r="M79" s="380">
        <v>0</v>
      </c>
      <c r="N79" s="378">
        <f t="shared" si="6"/>
        <v>0</v>
      </c>
      <c r="O79" s="382">
        <f t="shared" si="7"/>
        <v>70238320</v>
      </c>
      <c r="P79" s="380">
        <v>0.08</v>
      </c>
      <c r="Q79" s="378">
        <f t="shared" si="8"/>
        <v>5619065.6000000006</v>
      </c>
      <c r="R79" s="214">
        <v>175</v>
      </c>
      <c r="S79" s="214">
        <f t="shared" si="11"/>
        <v>15.508571428571429</v>
      </c>
      <c r="T79" s="215">
        <f t="shared" si="12"/>
        <v>70238320</v>
      </c>
      <c r="U79" s="216">
        <v>35</v>
      </c>
      <c r="V79" s="213">
        <f t="shared" si="13"/>
        <v>2458341200</v>
      </c>
      <c r="W79" s="341">
        <v>54.72</v>
      </c>
      <c r="X79" s="353">
        <f t="shared" si="9"/>
        <v>2659.28</v>
      </c>
    </row>
    <row r="80" spans="1:24" s="217" customFormat="1" ht="49.5" customHeight="1" thickBot="1">
      <c r="A80" s="254">
        <v>62</v>
      </c>
      <c r="B80" s="401" t="s">
        <v>329</v>
      </c>
      <c r="C80" s="356" t="s">
        <v>249</v>
      </c>
      <c r="D80" s="369" t="s">
        <v>143</v>
      </c>
      <c r="E80" s="364">
        <v>900</v>
      </c>
      <c r="F80" s="370">
        <v>0.17</v>
      </c>
      <c r="G80" s="371">
        <f t="shared" si="0"/>
        <v>153</v>
      </c>
      <c r="H80" s="373"/>
      <c r="I80" s="364">
        <v>96039040</v>
      </c>
      <c r="J80" s="376">
        <f t="shared" si="1"/>
        <v>4399.6000000000004</v>
      </c>
      <c r="K80" s="365">
        <v>4500</v>
      </c>
      <c r="L80" s="377">
        <f t="shared" si="2"/>
        <v>3959640</v>
      </c>
      <c r="M80" s="380">
        <v>0</v>
      </c>
      <c r="N80" s="378">
        <f t="shared" si="6"/>
        <v>0</v>
      </c>
      <c r="O80" s="382">
        <f t="shared" si="7"/>
        <v>3959640</v>
      </c>
      <c r="P80" s="380">
        <v>0.08</v>
      </c>
      <c r="Q80" s="378">
        <f t="shared" si="8"/>
        <v>316771.20000000001</v>
      </c>
      <c r="R80" s="214">
        <v>176</v>
      </c>
      <c r="S80" s="214">
        <f t="shared" si="11"/>
        <v>0.86931818181818177</v>
      </c>
      <c r="T80" s="215">
        <f t="shared" si="12"/>
        <v>3959640</v>
      </c>
      <c r="U80" s="216">
        <v>36</v>
      </c>
      <c r="V80" s="213">
        <f t="shared" si="13"/>
        <v>142547040</v>
      </c>
      <c r="W80" s="341">
        <v>190</v>
      </c>
      <c r="X80" s="353">
        <f t="shared" si="9"/>
        <v>-37</v>
      </c>
    </row>
    <row r="81" spans="1:24" s="217" customFormat="1" ht="49.5" customHeight="1" thickBot="1">
      <c r="A81" s="254">
        <v>63</v>
      </c>
      <c r="B81" s="431" t="s">
        <v>330</v>
      </c>
      <c r="C81" s="357" t="s">
        <v>250</v>
      </c>
      <c r="D81" s="369" t="s">
        <v>154</v>
      </c>
      <c r="E81" s="365">
        <v>1000</v>
      </c>
      <c r="F81" s="370">
        <v>1.88</v>
      </c>
      <c r="G81" s="371">
        <f t="shared" si="0"/>
        <v>1880</v>
      </c>
      <c r="H81" s="373"/>
      <c r="I81" s="364">
        <v>83014020</v>
      </c>
      <c r="J81" s="376">
        <f t="shared" si="1"/>
        <v>48654.399999999994</v>
      </c>
      <c r="K81" s="365">
        <v>50000</v>
      </c>
      <c r="L81" s="377">
        <f t="shared" si="2"/>
        <v>48654400</v>
      </c>
      <c r="M81" s="381">
        <v>0.05</v>
      </c>
      <c r="N81" s="378">
        <f t="shared" si="6"/>
        <v>2432720</v>
      </c>
      <c r="O81" s="382">
        <f t="shared" si="7"/>
        <v>51087120</v>
      </c>
      <c r="P81" s="380">
        <v>0.08</v>
      </c>
      <c r="Q81" s="378">
        <f t="shared" si="8"/>
        <v>4086969.6</v>
      </c>
      <c r="R81" s="214">
        <v>177</v>
      </c>
      <c r="S81" s="214">
        <f t="shared" si="11"/>
        <v>10.621468926553673</v>
      </c>
      <c r="T81" s="215">
        <f t="shared" si="12"/>
        <v>48654400</v>
      </c>
      <c r="U81" s="216">
        <v>37</v>
      </c>
      <c r="V81" s="213">
        <f t="shared" si="13"/>
        <v>1800212800</v>
      </c>
      <c r="W81" s="341">
        <v>76.8</v>
      </c>
      <c r="X81" s="353">
        <f t="shared" si="9"/>
        <v>1803.2</v>
      </c>
    </row>
    <row r="82" spans="1:24" s="217" customFormat="1" ht="49.5" customHeight="1" thickBot="1">
      <c r="A82" s="254">
        <v>64</v>
      </c>
      <c r="B82" s="431"/>
      <c r="C82" s="357" t="s">
        <v>251</v>
      </c>
      <c r="D82" s="369" t="s">
        <v>154</v>
      </c>
      <c r="E82" s="365">
        <v>1000</v>
      </c>
      <c r="F82" s="370">
        <v>3.39</v>
      </c>
      <c r="G82" s="371">
        <f t="shared" si="0"/>
        <v>3390</v>
      </c>
      <c r="H82" s="373"/>
      <c r="I82" s="364">
        <v>83014020</v>
      </c>
      <c r="J82" s="376">
        <f t="shared" si="1"/>
        <v>87733.2</v>
      </c>
      <c r="K82" s="365">
        <v>90000</v>
      </c>
      <c r="L82" s="377">
        <f t="shared" si="2"/>
        <v>87733200</v>
      </c>
      <c r="M82" s="381">
        <v>0.05</v>
      </c>
      <c r="N82" s="378">
        <f t="shared" si="6"/>
        <v>4386660</v>
      </c>
      <c r="O82" s="382">
        <f t="shared" si="7"/>
        <v>92119860</v>
      </c>
      <c r="P82" s="380">
        <v>0.08</v>
      </c>
      <c r="Q82" s="378">
        <f t="shared" si="8"/>
        <v>7369588.7999999998</v>
      </c>
      <c r="R82" s="214">
        <v>178</v>
      </c>
      <c r="S82" s="214">
        <f t="shared" si="11"/>
        <v>19.04494382022472</v>
      </c>
      <c r="T82" s="215">
        <f t="shared" si="12"/>
        <v>87733200</v>
      </c>
      <c r="U82" s="216">
        <v>38</v>
      </c>
      <c r="V82" s="213">
        <f t="shared" si="13"/>
        <v>3333861600</v>
      </c>
      <c r="W82" s="341">
        <v>248.4</v>
      </c>
      <c r="X82" s="353">
        <f t="shared" si="9"/>
        <v>3141.6</v>
      </c>
    </row>
    <row r="83" spans="1:24" s="217" customFormat="1" ht="49.5" customHeight="1" thickBot="1">
      <c r="A83" s="254">
        <v>65</v>
      </c>
      <c r="B83" s="431" t="s">
        <v>331</v>
      </c>
      <c r="C83" s="356" t="s">
        <v>252</v>
      </c>
      <c r="D83" s="369" t="s">
        <v>179</v>
      </c>
      <c r="E83" s="364">
        <v>560</v>
      </c>
      <c r="F83" s="370">
        <v>0.188</v>
      </c>
      <c r="G83" s="371">
        <f t="shared" ref="G83:G142" si="14">E83*F83</f>
        <v>105.28</v>
      </c>
      <c r="H83" s="373"/>
      <c r="I83" s="364">
        <v>39191010</v>
      </c>
      <c r="J83" s="376">
        <f t="shared" si="1"/>
        <v>4865.4399999999996</v>
      </c>
      <c r="K83" s="365">
        <v>5000</v>
      </c>
      <c r="L83" s="377">
        <f t="shared" si="2"/>
        <v>2724646.4</v>
      </c>
      <c r="M83" s="380">
        <v>0</v>
      </c>
      <c r="N83" s="378">
        <f t="shared" si="6"/>
        <v>0</v>
      </c>
      <c r="O83" s="382">
        <f t="shared" si="7"/>
        <v>2724646.4</v>
      </c>
      <c r="P83" s="380">
        <v>0.08</v>
      </c>
      <c r="Q83" s="378">
        <f t="shared" si="8"/>
        <v>217971.712</v>
      </c>
      <c r="R83" s="214">
        <v>179</v>
      </c>
      <c r="S83" s="214">
        <f t="shared" si="11"/>
        <v>0.58815642458100559</v>
      </c>
      <c r="T83" s="215">
        <f t="shared" si="12"/>
        <v>2724646.4</v>
      </c>
      <c r="U83" s="216">
        <v>39</v>
      </c>
      <c r="V83" s="213">
        <f t="shared" si="13"/>
        <v>106261209.59999999</v>
      </c>
      <c r="W83" s="341">
        <v>155.5</v>
      </c>
      <c r="X83" s="353">
        <f t="shared" si="9"/>
        <v>-50.22</v>
      </c>
    </row>
    <row r="84" spans="1:24" s="217" customFormat="1" ht="49.5" customHeight="1" thickBot="1">
      <c r="A84" s="254">
        <v>66</v>
      </c>
      <c r="B84" s="431"/>
      <c r="C84" s="356" t="s">
        <v>253</v>
      </c>
      <c r="D84" s="369" t="s">
        <v>179</v>
      </c>
      <c r="E84" s="365">
        <v>1500</v>
      </c>
      <c r="F84" s="370">
        <v>0.38</v>
      </c>
      <c r="G84" s="371">
        <f t="shared" si="14"/>
        <v>570</v>
      </c>
      <c r="H84" s="373"/>
      <c r="I84" s="364">
        <v>39191010</v>
      </c>
      <c r="J84" s="376">
        <f t="shared" si="1"/>
        <v>9834.4</v>
      </c>
      <c r="K84" s="365">
        <v>10000</v>
      </c>
      <c r="L84" s="377">
        <f t="shared" si="2"/>
        <v>14751600</v>
      </c>
      <c r="M84" s="380">
        <v>0</v>
      </c>
      <c r="N84" s="378">
        <f t="shared" ref="N84:N140" si="15">M84*L84</f>
        <v>0</v>
      </c>
      <c r="O84" s="382">
        <f t="shared" ref="O84:O142" si="16">L84+N84</f>
        <v>14751600</v>
      </c>
      <c r="P84" s="380">
        <v>0.08</v>
      </c>
      <c r="Q84" s="378">
        <f t="shared" ref="Q84:Q142" si="17">O84*P84</f>
        <v>1180128</v>
      </c>
      <c r="R84" s="214">
        <v>141</v>
      </c>
      <c r="S84" s="214">
        <f t="shared" ref="S84:S92" si="18">G84/R84</f>
        <v>4.042553191489362</v>
      </c>
      <c r="T84" s="215">
        <f t="shared" ref="T84:T92" si="19">L84</f>
        <v>14751600</v>
      </c>
      <c r="U84" s="216">
        <v>0</v>
      </c>
      <c r="V84" s="213">
        <f t="shared" ref="V84:V92" si="20">T84*U84</f>
        <v>0</v>
      </c>
      <c r="W84" s="341">
        <v>141</v>
      </c>
      <c r="X84" s="353">
        <f t="shared" ref="X84:X140" si="21">G84-W84</f>
        <v>429</v>
      </c>
    </row>
    <row r="85" spans="1:24" s="217" customFormat="1" ht="49.5" customHeight="1" thickBot="1">
      <c r="A85" s="254">
        <v>67</v>
      </c>
      <c r="B85" s="431"/>
      <c r="C85" s="356" t="s">
        <v>254</v>
      </c>
      <c r="D85" s="369" t="s">
        <v>179</v>
      </c>
      <c r="E85" s="364">
        <v>480</v>
      </c>
      <c r="F85" s="370">
        <v>0.22600000000000001</v>
      </c>
      <c r="G85" s="371">
        <f t="shared" si="14"/>
        <v>108.48</v>
      </c>
      <c r="H85" s="373"/>
      <c r="I85" s="364">
        <v>39191010</v>
      </c>
      <c r="J85" s="376">
        <f t="shared" si="1"/>
        <v>5848.88</v>
      </c>
      <c r="K85" s="365">
        <v>6000</v>
      </c>
      <c r="L85" s="377">
        <f t="shared" si="2"/>
        <v>2807462.4</v>
      </c>
      <c r="M85" s="380">
        <v>0</v>
      </c>
      <c r="N85" s="378">
        <f t="shared" si="15"/>
        <v>0</v>
      </c>
      <c r="O85" s="382">
        <f t="shared" si="16"/>
        <v>2807462.4</v>
      </c>
      <c r="P85" s="380">
        <v>0.08</v>
      </c>
      <c r="Q85" s="378">
        <f t="shared" si="17"/>
        <v>224596.992</v>
      </c>
      <c r="R85" s="214">
        <v>142</v>
      </c>
      <c r="S85" s="214">
        <f t="shared" si="18"/>
        <v>0.76394366197183106</v>
      </c>
      <c r="T85" s="215">
        <f t="shared" si="19"/>
        <v>2807462.4</v>
      </c>
      <c r="U85" s="216">
        <v>0</v>
      </c>
      <c r="V85" s="213">
        <f t="shared" si="20"/>
        <v>0</v>
      </c>
      <c r="W85" s="341">
        <v>160.6</v>
      </c>
      <c r="X85" s="353">
        <f t="shared" si="21"/>
        <v>-52.11999999999999</v>
      </c>
    </row>
    <row r="86" spans="1:24" s="217" customFormat="1" ht="49.5" customHeight="1" thickBot="1">
      <c r="A86" s="254">
        <v>68</v>
      </c>
      <c r="B86" s="431"/>
      <c r="C86" s="356" t="s">
        <v>255</v>
      </c>
      <c r="D86" s="369" t="s">
        <v>143</v>
      </c>
      <c r="E86" s="383">
        <v>800</v>
      </c>
      <c r="F86" s="370">
        <v>0.3</v>
      </c>
      <c r="G86" s="371">
        <f t="shared" si="14"/>
        <v>240</v>
      </c>
      <c r="H86" s="373"/>
      <c r="I86" s="364">
        <v>39269099</v>
      </c>
      <c r="J86" s="376">
        <f t="shared" si="1"/>
        <v>7764</v>
      </c>
      <c r="K86" s="365">
        <v>8000</v>
      </c>
      <c r="L86" s="377">
        <f t="shared" si="2"/>
        <v>6211200</v>
      </c>
      <c r="M86" s="380">
        <v>0</v>
      </c>
      <c r="N86" s="378">
        <f t="shared" si="15"/>
        <v>0</v>
      </c>
      <c r="O86" s="382">
        <f t="shared" si="16"/>
        <v>6211200</v>
      </c>
      <c r="P86" s="380">
        <v>0.08</v>
      </c>
      <c r="Q86" s="378">
        <f t="shared" si="17"/>
        <v>496896</v>
      </c>
      <c r="R86" s="214">
        <v>143</v>
      </c>
      <c r="S86" s="214">
        <f t="shared" si="18"/>
        <v>1.6783216783216783</v>
      </c>
      <c r="T86" s="215">
        <f t="shared" si="19"/>
        <v>6211200</v>
      </c>
      <c r="U86" s="216">
        <v>0</v>
      </c>
      <c r="V86" s="213">
        <f t="shared" si="20"/>
        <v>0</v>
      </c>
      <c r="W86" s="341">
        <v>160</v>
      </c>
      <c r="X86" s="353">
        <f t="shared" si="21"/>
        <v>80</v>
      </c>
    </row>
    <row r="87" spans="1:24" s="217" customFormat="1" ht="49.5" customHeight="1" thickBot="1">
      <c r="A87" s="254">
        <v>69</v>
      </c>
      <c r="B87" s="431" t="s">
        <v>332</v>
      </c>
      <c r="C87" s="357" t="s">
        <v>256</v>
      </c>
      <c r="D87" s="369" t="s">
        <v>143</v>
      </c>
      <c r="E87" s="364">
        <v>18</v>
      </c>
      <c r="F87" s="370">
        <v>148.9</v>
      </c>
      <c r="G87" s="371">
        <f t="shared" si="14"/>
        <v>2680.2000000000003</v>
      </c>
      <c r="H87" s="373"/>
      <c r="I87" s="364">
        <v>84212950</v>
      </c>
      <c r="J87" s="376">
        <f t="shared" si="1"/>
        <v>3853532</v>
      </c>
      <c r="K87" s="365">
        <v>3950000</v>
      </c>
      <c r="L87" s="377">
        <f t="shared" si="2"/>
        <v>69363576</v>
      </c>
      <c r="M87" s="380">
        <v>0</v>
      </c>
      <c r="N87" s="378">
        <f t="shared" si="15"/>
        <v>0</v>
      </c>
      <c r="O87" s="382">
        <f t="shared" si="16"/>
        <v>69363576</v>
      </c>
      <c r="P87" s="380">
        <v>0.08</v>
      </c>
      <c r="Q87" s="378">
        <f t="shared" si="17"/>
        <v>5549086.0800000001</v>
      </c>
      <c r="R87" s="214">
        <v>144</v>
      </c>
      <c r="S87" s="214">
        <f t="shared" si="18"/>
        <v>18.612500000000001</v>
      </c>
      <c r="T87" s="215">
        <f t="shared" si="19"/>
        <v>69363576</v>
      </c>
      <c r="U87" s="216">
        <v>0</v>
      </c>
      <c r="V87" s="213">
        <f t="shared" si="20"/>
        <v>0</v>
      </c>
      <c r="W87" s="341">
        <v>63.72</v>
      </c>
      <c r="X87" s="353">
        <f t="shared" si="21"/>
        <v>2616.4800000000005</v>
      </c>
    </row>
    <row r="88" spans="1:24" s="217" customFormat="1" ht="49.5" customHeight="1" thickBot="1">
      <c r="A88" s="254">
        <v>70</v>
      </c>
      <c r="B88" s="431"/>
      <c r="C88" s="357" t="s">
        <v>257</v>
      </c>
      <c r="D88" s="369" t="s">
        <v>143</v>
      </c>
      <c r="E88" s="364">
        <v>10</v>
      </c>
      <c r="F88" s="370">
        <v>122.52</v>
      </c>
      <c r="G88" s="371">
        <f t="shared" si="14"/>
        <v>1225.2</v>
      </c>
      <c r="H88" s="373"/>
      <c r="I88" s="364">
        <v>84212950</v>
      </c>
      <c r="J88" s="376">
        <f t="shared" si="1"/>
        <v>3170817.6</v>
      </c>
      <c r="K88" s="365">
        <v>3250000</v>
      </c>
      <c r="L88" s="377">
        <f t="shared" si="2"/>
        <v>31708176</v>
      </c>
      <c r="M88" s="380">
        <v>0</v>
      </c>
      <c r="N88" s="378">
        <f t="shared" si="15"/>
        <v>0</v>
      </c>
      <c r="O88" s="382">
        <f t="shared" si="16"/>
        <v>31708176</v>
      </c>
      <c r="P88" s="380">
        <v>0.08</v>
      </c>
      <c r="Q88" s="378">
        <f t="shared" si="17"/>
        <v>2536654.08</v>
      </c>
      <c r="R88" s="214">
        <v>145</v>
      </c>
      <c r="S88" s="214">
        <f t="shared" si="18"/>
        <v>8.4496551724137934</v>
      </c>
      <c r="T88" s="215">
        <f t="shared" si="19"/>
        <v>31708176</v>
      </c>
      <c r="U88" s="216">
        <v>0</v>
      </c>
      <c r="V88" s="213">
        <f t="shared" si="20"/>
        <v>0</v>
      </c>
      <c r="W88" s="341">
        <v>92.4</v>
      </c>
      <c r="X88" s="353">
        <f t="shared" si="21"/>
        <v>1132.8</v>
      </c>
    </row>
    <row r="89" spans="1:24" s="217" customFormat="1" ht="49.5" customHeight="1" thickBot="1">
      <c r="A89" s="254">
        <v>71</v>
      </c>
      <c r="B89" s="431" t="s">
        <v>333</v>
      </c>
      <c r="C89" s="356" t="s">
        <v>258</v>
      </c>
      <c r="D89" s="369" t="s">
        <v>154</v>
      </c>
      <c r="E89" s="364">
        <v>500</v>
      </c>
      <c r="F89" s="370">
        <v>18.850000000000001</v>
      </c>
      <c r="G89" s="371">
        <f t="shared" si="14"/>
        <v>9425</v>
      </c>
      <c r="H89" s="373"/>
      <c r="I89" s="364">
        <v>85437029</v>
      </c>
      <c r="J89" s="376">
        <f t="shared" si="1"/>
        <v>487838.00000000006</v>
      </c>
      <c r="K89" s="365">
        <v>500000</v>
      </c>
      <c r="L89" s="377">
        <f t="shared" si="2"/>
        <v>243919000</v>
      </c>
      <c r="M89" s="380">
        <v>0</v>
      </c>
      <c r="N89" s="378">
        <f t="shared" si="15"/>
        <v>0</v>
      </c>
      <c r="O89" s="382">
        <f t="shared" si="16"/>
        <v>243919000</v>
      </c>
      <c r="P89" s="380">
        <v>0.08</v>
      </c>
      <c r="Q89" s="378">
        <f t="shared" si="17"/>
        <v>19513520</v>
      </c>
      <c r="R89" s="214">
        <v>146</v>
      </c>
      <c r="S89" s="214">
        <f t="shared" si="18"/>
        <v>64.554794520547944</v>
      </c>
      <c r="T89" s="215">
        <f t="shared" si="19"/>
        <v>243919000</v>
      </c>
      <c r="U89" s="216">
        <v>0</v>
      </c>
      <c r="V89" s="213">
        <f t="shared" si="20"/>
        <v>0</v>
      </c>
      <c r="W89" s="341">
        <v>92.4</v>
      </c>
      <c r="X89" s="353">
        <f t="shared" si="21"/>
        <v>9332.6</v>
      </c>
    </row>
    <row r="90" spans="1:24" s="217" customFormat="1" ht="49.5" customHeight="1" thickBot="1">
      <c r="A90" s="254">
        <v>72</v>
      </c>
      <c r="B90" s="431"/>
      <c r="C90" s="356" t="s">
        <v>259</v>
      </c>
      <c r="D90" s="369" t="s">
        <v>154</v>
      </c>
      <c r="E90" s="364">
        <v>700</v>
      </c>
      <c r="F90" s="370">
        <v>11.31</v>
      </c>
      <c r="G90" s="371">
        <f t="shared" si="14"/>
        <v>7917</v>
      </c>
      <c r="H90" s="373"/>
      <c r="I90" s="364">
        <v>85437029</v>
      </c>
      <c r="J90" s="376">
        <f t="shared" si="1"/>
        <v>292702.8</v>
      </c>
      <c r="K90" s="365">
        <v>300000</v>
      </c>
      <c r="L90" s="377">
        <f t="shared" si="2"/>
        <v>204891960</v>
      </c>
      <c r="M90" s="380">
        <v>0</v>
      </c>
      <c r="N90" s="378">
        <f t="shared" si="15"/>
        <v>0</v>
      </c>
      <c r="O90" s="382">
        <f t="shared" si="16"/>
        <v>204891960</v>
      </c>
      <c r="P90" s="380">
        <v>0.08</v>
      </c>
      <c r="Q90" s="378">
        <f t="shared" si="17"/>
        <v>16391356.800000001</v>
      </c>
      <c r="R90" s="214">
        <v>147</v>
      </c>
      <c r="S90" s="214">
        <f t="shared" si="18"/>
        <v>53.857142857142854</v>
      </c>
      <c r="T90" s="215">
        <f t="shared" si="19"/>
        <v>204891960</v>
      </c>
      <c r="U90" s="216">
        <v>0</v>
      </c>
      <c r="V90" s="213">
        <f t="shared" si="20"/>
        <v>0</v>
      </c>
      <c r="W90" s="341">
        <v>92.4</v>
      </c>
      <c r="X90" s="353">
        <f t="shared" si="21"/>
        <v>7824.6</v>
      </c>
    </row>
    <row r="91" spans="1:24" s="217" customFormat="1" ht="49.5" customHeight="1" thickBot="1">
      <c r="A91" s="254">
        <v>73</v>
      </c>
      <c r="B91" s="401" t="s">
        <v>334</v>
      </c>
      <c r="C91" s="356" t="s">
        <v>260</v>
      </c>
      <c r="D91" s="369" t="s">
        <v>143</v>
      </c>
      <c r="E91" s="364">
        <v>980</v>
      </c>
      <c r="F91" s="370">
        <v>0.3</v>
      </c>
      <c r="G91" s="371">
        <f t="shared" si="14"/>
        <v>294</v>
      </c>
      <c r="H91" s="373"/>
      <c r="I91" s="364">
        <v>96039040</v>
      </c>
      <c r="J91" s="376">
        <f t="shared" si="1"/>
        <v>7764</v>
      </c>
      <c r="K91" s="365">
        <v>8000</v>
      </c>
      <c r="L91" s="377">
        <f t="shared" si="2"/>
        <v>7608720</v>
      </c>
      <c r="M91" s="380">
        <v>0</v>
      </c>
      <c r="N91" s="378">
        <f t="shared" si="15"/>
        <v>0</v>
      </c>
      <c r="O91" s="382">
        <f t="shared" si="16"/>
        <v>7608720</v>
      </c>
      <c r="P91" s="380">
        <v>0.08</v>
      </c>
      <c r="Q91" s="378">
        <f t="shared" si="17"/>
        <v>608697.59999999998</v>
      </c>
      <c r="R91" s="214">
        <v>148</v>
      </c>
      <c r="S91" s="214">
        <f t="shared" si="18"/>
        <v>1.9864864864864864</v>
      </c>
      <c r="T91" s="215">
        <f t="shared" si="19"/>
        <v>7608720</v>
      </c>
      <c r="U91" s="216">
        <v>0</v>
      </c>
      <c r="V91" s="213">
        <f t="shared" si="20"/>
        <v>0</v>
      </c>
      <c r="W91" s="341">
        <v>226</v>
      </c>
      <c r="X91" s="353">
        <f t="shared" si="21"/>
        <v>68</v>
      </c>
    </row>
    <row r="92" spans="1:24" s="217" customFormat="1" ht="49.5" customHeight="1" thickBot="1">
      <c r="A92" s="254">
        <v>74</v>
      </c>
      <c r="B92" s="401" t="s">
        <v>335</v>
      </c>
      <c r="C92" s="356" t="s">
        <v>261</v>
      </c>
      <c r="D92" s="369" t="s">
        <v>143</v>
      </c>
      <c r="E92" s="364">
        <v>128</v>
      </c>
      <c r="F92" s="370">
        <v>6.03</v>
      </c>
      <c r="G92" s="371">
        <f t="shared" si="14"/>
        <v>771.84</v>
      </c>
      <c r="H92" s="373"/>
      <c r="I92" s="364">
        <v>85012012</v>
      </c>
      <c r="J92" s="376">
        <f t="shared" si="1"/>
        <v>156056.4</v>
      </c>
      <c r="K92" s="365">
        <v>160000</v>
      </c>
      <c r="L92" s="377">
        <f t="shared" si="2"/>
        <v>19975219.199999999</v>
      </c>
      <c r="M92" s="380">
        <v>0</v>
      </c>
      <c r="N92" s="378">
        <f t="shared" si="15"/>
        <v>0</v>
      </c>
      <c r="O92" s="382">
        <f t="shared" si="16"/>
        <v>19975219.199999999</v>
      </c>
      <c r="P92" s="380">
        <v>0.08</v>
      </c>
      <c r="Q92" s="378">
        <f t="shared" si="17"/>
        <v>1598017.5360000001</v>
      </c>
      <c r="R92" s="214">
        <v>149</v>
      </c>
      <c r="S92" s="214">
        <f t="shared" si="18"/>
        <v>5.1801342281879199</v>
      </c>
      <c r="T92" s="215">
        <f t="shared" si="19"/>
        <v>19975219.199999999</v>
      </c>
      <c r="U92" s="216">
        <v>0</v>
      </c>
      <c r="V92" s="213">
        <f t="shared" si="20"/>
        <v>0</v>
      </c>
      <c r="W92" s="341">
        <v>151</v>
      </c>
      <c r="X92" s="353">
        <f t="shared" si="21"/>
        <v>620.84</v>
      </c>
    </row>
    <row r="93" spans="1:24" s="217" customFormat="1" ht="49.5" customHeight="1" thickBot="1">
      <c r="A93" s="254">
        <v>75</v>
      </c>
      <c r="B93" s="401" t="s">
        <v>336</v>
      </c>
      <c r="C93" s="356" t="s">
        <v>262</v>
      </c>
      <c r="D93" s="369" t="s">
        <v>143</v>
      </c>
      <c r="E93" s="365">
        <v>1000</v>
      </c>
      <c r="F93" s="370">
        <v>1.06</v>
      </c>
      <c r="G93" s="371">
        <f t="shared" si="14"/>
        <v>1060</v>
      </c>
      <c r="H93" s="373"/>
      <c r="I93" s="364">
        <v>85012019</v>
      </c>
      <c r="J93" s="376">
        <f t="shared" si="1"/>
        <v>27432.800000000003</v>
      </c>
      <c r="K93" s="365">
        <v>28240</v>
      </c>
      <c r="L93" s="377">
        <f t="shared" si="2"/>
        <v>27432800</v>
      </c>
      <c r="M93" s="380">
        <v>0</v>
      </c>
      <c r="N93" s="378">
        <f t="shared" si="15"/>
        <v>0</v>
      </c>
      <c r="O93" s="382">
        <f t="shared" si="16"/>
        <v>27432800</v>
      </c>
      <c r="P93" s="380">
        <v>0.08</v>
      </c>
      <c r="Q93" s="378">
        <f t="shared" si="17"/>
        <v>2194624</v>
      </c>
      <c r="R93" s="214"/>
      <c r="S93" s="214"/>
      <c r="T93" s="215"/>
      <c r="U93" s="216"/>
      <c r="V93" s="213"/>
      <c r="W93" s="341">
        <v>820</v>
      </c>
      <c r="X93" s="353">
        <f t="shared" si="21"/>
        <v>240</v>
      </c>
    </row>
    <row r="94" spans="1:24" s="217" customFormat="1" ht="49.5" customHeight="1" thickBot="1">
      <c r="A94" s="254">
        <v>76</v>
      </c>
      <c r="B94" s="401" t="s">
        <v>337</v>
      </c>
      <c r="C94" s="356" t="s">
        <v>263</v>
      </c>
      <c r="D94" s="369" t="s">
        <v>143</v>
      </c>
      <c r="E94" s="364">
        <v>200</v>
      </c>
      <c r="F94" s="370">
        <v>1.69</v>
      </c>
      <c r="G94" s="371">
        <f t="shared" si="14"/>
        <v>338</v>
      </c>
      <c r="H94" s="373"/>
      <c r="I94" s="364">
        <v>39249090</v>
      </c>
      <c r="J94" s="376">
        <f t="shared" si="1"/>
        <v>43737.2</v>
      </c>
      <c r="K94" s="365">
        <v>45000</v>
      </c>
      <c r="L94" s="377">
        <f t="shared" si="2"/>
        <v>8747440</v>
      </c>
      <c r="M94" s="380">
        <v>0</v>
      </c>
      <c r="N94" s="378">
        <f t="shared" si="15"/>
        <v>0</v>
      </c>
      <c r="O94" s="382">
        <f t="shared" si="16"/>
        <v>8747440</v>
      </c>
      <c r="P94" s="380">
        <v>0.08</v>
      </c>
      <c r="Q94" s="378">
        <f t="shared" si="17"/>
        <v>699795.20000000007</v>
      </c>
      <c r="R94" s="214"/>
      <c r="S94" s="214"/>
      <c r="T94" s="215"/>
      <c r="U94" s="216"/>
      <c r="V94" s="213"/>
      <c r="W94" s="341">
        <v>360</v>
      </c>
      <c r="X94" s="353">
        <f t="shared" si="21"/>
        <v>-22</v>
      </c>
    </row>
    <row r="95" spans="1:24" s="217" customFormat="1" ht="49.5" customHeight="1" thickBot="1">
      <c r="A95" s="254">
        <v>77</v>
      </c>
      <c r="B95" s="431" t="s">
        <v>338</v>
      </c>
      <c r="C95" s="356" t="s">
        <v>420</v>
      </c>
      <c r="D95" s="369" t="s">
        <v>153</v>
      </c>
      <c r="E95" s="364">
        <v>130</v>
      </c>
      <c r="F95" s="370">
        <v>3.02</v>
      </c>
      <c r="G95" s="371">
        <f t="shared" si="14"/>
        <v>392.6</v>
      </c>
      <c r="H95" s="373"/>
      <c r="I95" s="364">
        <v>64051000</v>
      </c>
      <c r="J95" s="376">
        <f t="shared" si="1"/>
        <v>78157.600000000006</v>
      </c>
      <c r="K95" s="365">
        <v>80000</v>
      </c>
      <c r="L95" s="377">
        <f t="shared" si="2"/>
        <v>10160488</v>
      </c>
      <c r="M95" s="380">
        <v>0</v>
      </c>
      <c r="N95" s="378">
        <f t="shared" si="15"/>
        <v>0</v>
      </c>
      <c r="O95" s="382">
        <f t="shared" si="16"/>
        <v>10160488</v>
      </c>
      <c r="P95" s="380">
        <v>0.08</v>
      </c>
      <c r="Q95" s="378">
        <f t="shared" si="17"/>
        <v>812839.04</v>
      </c>
      <c r="R95" s="214"/>
      <c r="S95" s="214"/>
      <c r="T95" s="215"/>
      <c r="U95" s="216"/>
      <c r="V95" s="213"/>
      <c r="W95" s="341">
        <v>5280</v>
      </c>
      <c r="X95" s="353">
        <f t="shared" si="21"/>
        <v>-4887.3999999999996</v>
      </c>
    </row>
    <row r="96" spans="1:24" s="217" customFormat="1" ht="49.5" customHeight="1" thickBot="1">
      <c r="A96" s="254">
        <v>78</v>
      </c>
      <c r="B96" s="431"/>
      <c r="C96" s="356" t="s">
        <v>421</v>
      </c>
      <c r="D96" s="369" t="s">
        <v>153</v>
      </c>
      <c r="E96" s="364">
        <v>75</v>
      </c>
      <c r="F96" s="370">
        <v>3.02</v>
      </c>
      <c r="G96" s="371">
        <f t="shared" si="14"/>
        <v>226.5</v>
      </c>
      <c r="H96" s="373"/>
      <c r="I96" s="364">
        <v>64051000</v>
      </c>
      <c r="J96" s="376">
        <f t="shared" si="1"/>
        <v>78157.600000000006</v>
      </c>
      <c r="K96" s="365">
        <v>80000</v>
      </c>
      <c r="L96" s="377">
        <f t="shared" si="2"/>
        <v>5861820</v>
      </c>
      <c r="M96" s="380">
        <v>0</v>
      </c>
      <c r="N96" s="378">
        <f t="shared" si="15"/>
        <v>0</v>
      </c>
      <c r="O96" s="382">
        <f t="shared" si="16"/>
        <v>5861820</v>
      </c>
      <c r="P96" s="380">
        <v>0.08</v>
      </c>
      <c r="Q96" s="378">
        <f t="shared" si="17"/>
        <v>468945.60000000003</v>
      </c>
      <c r="R96" s="214"/>
      <c r="S96" s="214"/>
      <c r="T96" s="215"/>
      <c r="U96" s="216"/>
      <c r="V96" s="213"/>
      <c r="W96" s="341">
        <v>277.2</v>
      </c>
      <c r="X96" s="353">
        <f t="shared" si="21"/>
        <v>-50.699999999999989</v>
      </c>
    </row>
    <row r="97" spans="1:24" s="217" customFormat="1" ht="49.5" customHeight="1" thickBot="1">
      <c r="A97" s="254">
        <v>79</v>
      </c>
      <c r="B97" s="431"/>
      <c r="C97" s="356" t="s">
        <v>422</v>
      </c>
      <c r="D97" s="369" t="s">
        <v>153</v>
      </c>
      <c r="E97" s="364">
        <v>180</v>
      </c>
      <c r="F97" s="370">
        <v>3.02</v>
      </c>
      <c r="G97" s="371">
        <f t="shared" si="14"/>
        <v>543.6</v>
      </c>
      <c r="H97" s="373"/>
      <c r="I97" s="364">
        <v>64051000</v>
      </c>
      <c r="J97" s="376">
        <f t="shared" si="1"/>
        <v>78157.600000000006</v>
      </c>
      <c r="K97" s="365">
        <v>80000</v>
      </c>
      <c r="L97" s="377">
        <f t="shared" si="2"/>
        <v>14068368</v>
      </c>
      <c r="M97" s="380">
        <v>0</v>
      </c>
      <c r="N97" s="378">
        <f t="shared" si="15"/>
        <v>0</v>
      </c>
      <c r="O97" s="382">
        <f t="shared" si="16"/>
        <v>14068368</v>
      </c>
      <c r="P97" s="380">
        <v>0.08</v>
      </c>
      <c r="Q97" s="378">
        <f t="shared" si="17"/>
        <v>1125469.44</v>
      </c>
      <c r="R97" s="214"/>
      <c r="S97" s="214"/>
      <c r="T97" s="215"/>
      <c r="U97" s="216"/>
      <c r="V97" s="213"/>
      <c r="W97" s="341">
        <v>300</v>
      </c>
      <c r="X97" s="353">
        <f t="shared" si="21"/>
        <v>243.60000000000002</v>
      </c>
    </row>
    <row r="98" spans="1:24" s="217" customFormat="1" ht="49.5" customHeight="1" thickBot="1">
      <c r="A98" s="254">
        <v>80</v>
      </c>
      <c r="B98" s="401" t="s">
        <v>339</v>
      </c>
      <c r="C98" s="356" t="s">
        <v>423</v>
      </c>
      <c r="D98" s="369" t="s">
        <v>143</v>
      </c>
      <c r="E98" s="364">
        <v>400</v>
      </c>
      <c r="F98" s="370">
        <v>1.88</v>
      </c>
      <c r="G98" s="371">
        <f t="shared" si="14"/>
        <v>752</v>
      </c>
      <c r="H98" s="373"/>
      <c r="I98" s="364">
        <v>90258000</v>
      </c>
      <c r="J98" s="376">
        <f t="shared" si="1"/>
        <v>48654.399999999994</v>
      </c>
      <c r="K98" s="365">
        <v>50000</v>
      </c>
      <c r="L98" s="377">
        <f t="shared" si="2"/>
        <v>19461760</v>
      </c>
      <c r="M98" s="380">
        <v>0</v>
      </c>
      <c r="N98" s="378">
        <f t="shared" si="15"/>
        <v>0</v>
      </c>
      <c r="O98" s="382">
        <f t="shared" si="16"/>
        <v>19461760</v>
      </c>
      <c r="P98" s="380">
        <v>0.08</v>
      </c>
      <c r="Q98" s="378">
        <f t="shared" si="17"/>
        <v>1556940.8</v>
      </c>
      <c r="R98" s="214"/>
      <c r="S98" s="214"/>
      <c r="T98" s="215"/>
      <c r="U98" s="216"/>
      <c r="V98" s="213"/>
      <c r="W98" s="341">
        <v>144</v>
      </c>
      <c r="X98" s="353">
        <f t="shared" si="21"/>
        <v>608</v>
      </c>
    </row>
    <row r="99" spans="1:24" s="217" customFormat="1" ht="49.5" customHeight="1" thickBot="1">
      <c r="A99" s="254">
        <v>81</v>
      </c>
      <c r="B99" s="401" t="s">
        <v>340</v>
      </c>
      <c r="C99" s="356" t="s">
        <v>264</v>
      </c>
      <c r="D99" s="369" t="s">
        <v>143</v>
      </c>
      <c r="E99" s="365">
        <v>1600</v>
      </c>
      <c r="F99" s="370">
        <v>9.4E-2</v>
      </c>
      <c r="G99" s="371">
        <f t="shared" si="14"/>
        <v>150.4</v>
      </c>
      <c r="H99" s="373"/>
      <c r="I99" s="364">
        <v>39269099</v>
      </c>
      <c r="J99" s="376">
        <f t="shared" si="1"/>
        <v>2432.7199999999998</v>
      </c>
      <c r="K99" s="365">
        <v>2500</v>
      </c>
      <c r="L99" s="377">
        <f t="shared" si="2"/>
        <v>3892352</v>
      </c>
      <c r="M99" s="380">
        <v>0</v>
      </c>
      <c r="N99" s="378">
        <f t="shared" si="15"/>
        <v>0</v>
      </c>
      <c r="O99" s="382">
        <f t="shared" si="16"/>
        <v>3892352</v>
      </c>
      <c r="P99" s="380">
        <v>0.08</v>
      </c>
      <c r="Q99" s="378">
        <f t="shared" si="17"/>
        <v>311388.16000000003</v>
      </c>
      <c r="R99" s="214"/>
      <c r="S99" s="214"/>
      <c r="T99" s="215"/>
      <c r="U99" s="216"/>
      <c r="V99" s="213"/>
      <c r="W99" s="341">
        <v>271.2</v>
      </c>
      <c r="X99" s="353">
        <f t="shared" si="21"/>
        <v>-120.79999999999998</v>
      </c>
    </row>
    <row r="100" spans="1:24" s="217" customFormat="1" ht="49.5" customHeight="1" thickBot="1">
      <c r="A100" s="254">
        <v>82</v>
      </c>
      <c r="B100" s="401" t="s">
        <v>341</v>
      </c>
      <c r="C100" s="356" t="s">
        <v>265</v>
      </c>
      <c r="D100" s="369" t="s">
        <v>143</v>
      </c>
      <c r="E100" s="365">
        <v>2768</v>
      </c>
      <c r="F100" s="370">
        <v>1.32</v>
      </c>
      <c r="G100" s="371">
        <f t="shared" si="14"/>
        <v>3653.76</v>
      </c>
      <c r="H100" s="373"/>
      <c r="I100" s="364">
        <v>56081990</v>
      </c>
      <c r="J100" s="376">
        <f t="shared" si="1"/>
        <v>34161.599999999999</v>
      </c>
      <c r="K100" s="365">
        <v>35000</v>
      </c>
      <c r="L100" s="377">
        <f t="shared" si="2"/>
        <v>94559308.800000012</v>
      </c>
      <c r="M100" s="380">
        <v>0</v>
      </c>
      <c r="N100" s="378">
        <f t="shared" si="15"/>
        <v>0</v>
      </c>
      <c r="O100" s="382">
        <f t="shared" si="16"/>
        <v>94559308.800000012</v>
      </c>
      <c r="P100" s="380">
        <v>0.08</v>
      </c>
      <c r="Q100" s="378">
        <f t="shared" si="17"/>
        <v>7564744.7040000008</v>
      </c>
      <c r="R100" s="214"/>
      <c r="S100" s="214"/>
      <c r="T100" s="215"/>
      <c r="U100" s="216"/>
      <c r="V100" s="213"/>
      <c r="W100" s="341">
        <v>271.2</v>
      </c>
      <c r="X100" s="353">
        <f t="shared" si="21"/>
        <v>3382.5600000000004</v>
      </c>
    </row>
    <row r="101" spans="1:24" s="217" customFormat="1" ht="49.5" customHeight="1" thickBot="1">
      <c r="A101" s="254">
        <v>83</v>
      </c>
      <c r="B101" s="401" t="s">
        <v>342</v>
      </c>
      <c r="C101" s="356" t="s">
        <v>266</v>
      </c>
      <c r="D101" s="369" t="s">
        <v>143</v>
      </c>
      <c r="E101" s="364">
        <v>600</v>
      </c>
      <c r="F101" s="370">
        <v>20.73</v>
      </c>
      <c r="G101" s="371">
        <f t="shared" si="14"/>
        <v>12438</v>
      </c>
      <c r="H101" s="373"/>
      <c r="I101" s="364">
        <v>94054290</v>
      </c>
      <c r="J101" s="376">
        <f t="shared" si="1"/>
        <v>536492.4</v>
      </c>
      <c r="K101" s="365">
        <v>550000</v>
      </c>
      <c r="L101" s="377">
        <f t="shared" si="2"/>
        <v>321895440</v>
      </c>
      <c r="M101" s="380">
        <v>0</v>
      </c>
      <c r="N101" s="378">
        <f t="shared" si="15"/>
        <v>0</v>
      </c>
      <c r="O101" s="382">
        <f t="shared" si="16"/>
        <v>321895440</v>
      </c>
      <c r="P101" s="380">
        <v>0.08</v>
      </c>
      <c r="Q101" s="378">
        <f t="shared" si="17"/>
        <v>25751635.199999999</v>
      </c>
      <c r="R101" s="214"/>
      <c r="S101" s="214"/>
      <c r="T101" s="215"/>
      <c r="U101" s="216"/>
      <c r="V101" s="213"/>
      <c r="W101" s="341">
        <v>900</v>
      </c>
      <c r="X101" s="353">
        <f t="shared" si="21"/>
        <v>11538</v>
      </c>
    </row>
    <row r="102" spans="1:24" s="217" customFormat="1" ht="49.5" customHeight="1" thickBot="1">
      <c r="A102" s="254">
        <v>84</v>
      </c>
      <c r="B102" s="431" t="s">
        <v>343</v>
      </c>
      <c r="C102" s="356" t="s">
        <v>267</v>
      </c>
      <c r="D102" s="369" t="s">
        <v>143</v>
      </c>
      <c r="E102" s="365">
        <v>2830</v>
      </c>
      <c r="F102" s="370">
        <v>0.75</v>
      </c>
      <c r="G102" s="371">
        <f t="shared" si="14"/>
        <v>2122.5</v>
      </c>
      <c r="H102" s="373"/>
      <c r="I102" s="364">
        <v>85444299</v>
      </c>
      <c r="J102" s="376">
        <f t="shared" si="1"/>
        <v>19410</v>
      </c>
      <c r="K102" s="365">
        <v>20000</v>
      </c>
      <c r="L102" s="377">
        <f t="shared" si="2"/>
        <v>54930300</v>
      </c>
      <c r="M102" s="380">
        <v>0</v>
      </c>
      <c r="N102" s="378">
        <f t="shared" si="15"/>
        <v>0</v>
      </c>
      <c r="O102" s="382">
        <f t="shared" si="16"/>
        <v>54930300</v>
      </c>
      <c r="P102" s="380">
        <v>0.08</v>
      </c>
      <c r="Q102" s="378">
        <f t="shared" si="17"/>
        <v>4394424</v>
      </c>
      <c r="R102" s="214"/>
      <c r="S102" s="214"/>
      <c r="T102" s="215"/>
      <c r="U102" s="216"/>
      <c r="V102" s="213"/>
      <c r="W102" s="341">
        <v>252</v>
      </c>
      <c r="X102" s="353">
        <f t="shared" si="21"/>
        <v>1870.5</v>
      </c>
    </row>
    <row r="103" spans="1:24" s="217" customFormat="1" ht="49.5" customHeight="1" thickBot="1">
      <c r="A103" s="254">
        <v>85</v>
      </c>
      <c r="B103" s="431"/>
      <c r="C103" s="356" t="s">
        <v>268</v>
      </c>
      <c r="D103" s="369" t="s">
        <v>179</v>
      </c>
      <c r="E103" s="364">
        <v>52</v>
      </c>
      <c r="F103" s="370">
        <v>26.39</v>
      </c>
      <c r="G103" s="371">
        <f t="shared" si="14"/>
        <v>1372.28</v>
      </c>
      <c r="H103" s="373"/>
      <c r="I103" s="364">
        <v>85444299</v>
      </c>
      <c r="J103" s="376">
        <f t="shared" si="1"/>
        <v>682973.20000000007</v>
      </c>
      <c r="K103" s="365">
        <v>700000</v>
      </c>
      <c r="L103" s="377">
        <f t="shared" si="2"/>
        <v>35514606.399999999</v>
      </c>
      <c r="M103" s="380">
        <v>0</v>
      </c>
      <c r="N103" s="378">
        <f t="shared" si="15"/>
        <v>0</v>
      </c>
      <c r="O103" s="382">
        <f t="shared" si="16"/>
        <v>35514606.399999999</v>
      </c>
      <c r="P103" s="380">
        <v>0.08</v>
      </c>
      <c r="Q103" s="378">
        <f t="shared" si="17"/>
        <v>2841168.5120000001</v>
      </c>
      <c r="R103" s="214"/>
      <c r="S103" s="214"/>
      <c r="T103" s="215"/>
      <c r="U103" s="216"/>
      <c r="V103" s="213"/>
      <c r="W103" s="341">
        <v>678.6</v>
      </c>
      <c r="X103" s="353">
        <f t="shared" si="21"/>
        <v>693.68</v>
      </c>
    </row>
    <row r="104" spans="1:24" s="217" customFormat="1" ht="49.5" customHeight="1" thickBot="1">
      <c r="A104" s="254">
        <v>86</v>
      </c>
      <c r="B104" s="431"/>
      <c r="C104" s="356" t="s">
        <v>269</v>
      </c>
      <c r="D104" s="369" t="s">
        <v>143</v>
      </c>
      <c r="E104" s="364">
        <v>350</v>
      </c>
      <c r="F104" s="370">
        <v>0.45</v>
      </c>
      <c r="G104" s="371">
        <f t="shared" si="14"/>
        <v>157.5</v>
      </c>
      <c r="H104" s="373"/>
      <c r="I104" s="364">
        <v>85437029</v>
      </c>
      <c r="J104" s="376">
        <f t="shared" si="1"/>
        <v>11646</v>
      </c>
      <c r="K104" s="365">
        <v>12000</v>
      </c>
      <c r="L104" s="377">
        <f t="shared" si="2"/>
        <v>4076100</v>
      </c>
      <c r="M104" s="380">
        <v>0</v>
      </c>
      <c r="N104" s="378">
        <f t="shared" si="15"/>
        <v>0</v>
      </c>
      <c r="O104" s="382">
        <f t="shared" si="16"/>
        <v>4076100</v>
      </c>
      <c r="P104" s="380">
        <v>0.08</v>
      </c>
      <c r="Q104" s="378">
        <f t="shared" si="17"/>
        <v>326088</v>
      </c>
      <c r="R104" s="214"/>
      <c r="S104" s="214"/>
      <c r="T104" s="215"/>
      <c r="U104" s="216"/>
      <c r="V104" s="213"/>
      <c r="W104" s="341">
        <v>75</v>
      </c>
      <c r="X104" s="353">
        <f t="shared" si="21"/>
        <v>82.5</v>
      </c>
    </row>
    <row r="105" spans="1:24" s="217" customFormat="1" ht="49.5" customHeight="1" thickBot="1">
      <c r="A105" s="254">
        <v>87</v>
      </c>
      <c r="B105" s="431"/>
      <c r="C105" s="356" t="s">
        <v>270</v>
      </c>
      <c r="D105" s="369" t="s">
        <v>143</v>
      </c>
      <c r="E105" s="383">
        <v>150</v>
      </c>
      <c r="F105" s="370">
        <v>0.93</v>
      </c>
      <c r="G105" s="371">
        <f t="shared" si="14"/>
        <v>139.5</v>
      </c>
      <c r="H105" s="373"/>
      <c r="I105" s="364">
        <v>85437029</v>
      </c>
      <c r="J105" s="376">
        <f t="shared" si="1"/>
        <v>24068.400000000001</v>
      </c>
      <c r="K105" s="365">
        <v>25000</v>
      </c>
      <c r="L105" s="377">
        <f t="shared" si="2"/>
        <v>3610260</v>
      </c>
      <c r="M105" s="380">
        <v>0</v>
      </c>
      <c r="N105" s="378">
        <f t="shared" si="15"/>
        <v>0</v>
      </c>
      <c r="O105" s="382">
        <f t="shared" si="16"/>
        <v>3610260</v>
      </c>
      <c r="P105" s="380">
        <v>0.08</v>
      </c>
      <c r="Q105" s="378">
        <f t="shared" si="17"/>
        <v>288820.8</v>
      </c>
      <c r="R105" s="214"/>
      <c r="S105" s="214"/>
      <c r="T105" s="215"/>
      <c r="U105" s="216"/>
      <c r="V105" s="213"/>
      <c r="W105" s="341">
        <v>250</v>
      </c>
      <c r="X105" s="353">
        <f t="shared" si="21"/>
        <v>-110.5</v>
      </c>
    </row>
    <row r="106" spans="1:24" s="217" customFormat="1" ht="49.5" customHeight="1" thickBot="1">
      <c r="A106" s="254">
        <v>88</v>
      </c>
      <c r="B106" s="431"/>
      <c r="C106" s="356" t="s">
        <v>271</v>
      </c>
      <c r="D106" s="369" t="s">
        <v>143</v>
      </c>
      <c r="E106" s="364">
        <v>250</v>
      </c>
      <c r="F106" s="370">
        <v>2.2599999999999998</v>
      </c>
      <c r="G106" s="371">
        <f t="shared" si="14"/>
        <v>565</v>
      </c>
      <c r="H106" s="373"/>
      <c r="I106" s="364">
        <v>85437090</v>
      </c>
      <c r="J106" s="376">
        <f t="shared" si="1"/>
        <v>58488.799999999996</v>
      </c>
      <c r="K106" s="365">
        <v>60000</v>
      </c>
      <c r="L106" s="377">
        <f t="shared" si="2"/>
        <v>14622200</v>
      </c>
      <c r="M106" s="380">
        <v>0</v>
      </c>
      <c r="N106" s="378">
        <f t="shared" si="15"/>
        <v>0</v>
      </c>
      <c r="O106" s="382">
        <f t="shared" si="16"/>
        <v>14622200</v>
      </c>
      <c r="P106" s="380">
        <v>0.08</v>
      </c>
      <c r="Q106" s="378">
        <f t="shared" si="17"/>
        <v>1169776</v>
      </c>
      <c r="R106" s="214"/>
      <c r="S106" s="214"/>
      <c r="T106" s="215"/>
      <c r="U106" s="216"/>
      <c r="V106" s="213"/>
      <c r="W106" s="341">
        <v>37.5</v>
      </c>
      <c r="X106" s="353">
        <f t="shared" si="21"/>
        <v>527.5</v>
      </c>
    </row>
    <row r="107" spans="1:24" s="217" customFormat="1" ht="49.5" customHeight="1" thickBot="1">
      <c r="A107" s="254">
        <v>89</v>
      </c>
      <c r="B107" s="431"/>
      <c r="C107" s="356" t="s">
        <v>272</v>
      </c>
      <c r="D107" s="369" t="s">
        <v>143</v>
      </c>
      <c r="E107" s="364">
        <v>500</v>
      </c>
      <c r="F107" s="370">
        <v>0.26</v>
      </c>
      <c r="G107" s="371">
        <f t="shared" si="14"/>
        <v>130</v>
      </c>
      <c r="H107" s="373"/>
      <c r="I107" s="364">
        <v>85369094</v>
      </c>
      <c r="J107" s="376">
        <f t="shared" si="1"/>
        <v>6728.8</v>
      </c>
      <c r="K107" s="365">
        <v>7000</v>
      </c>
      <c r="L107" s="377">
        <f t="shared" si="2"/>
        <v>3364400</v>
      </c>
      <c r="M107" s="380">
        <v>0</v>
      </c>
      <c r="N107" s="378">
        <f t="shared" si="15"/>
        <v>0</v>
      </c>
      <c r="O107" s="382">
        <f t="shared" si="16"/>
        <v>3364400</v>
      </c>
      <c r="P107" s="380">
        <v>0.08</v>
      </c>
      <c r="Q107" s="378">
        <f t="shared" si="17"/>
        <v>269152</v>
      </c>
      <c r="R107" s="214"/>
      <c r="S107" s="214"/>
      <c r="T107" s="215"/>
      <c r="U107" s="216"/>
      <c r="V107" s="213"/>
      <c r="W107" s="341">
        <v>972</v>
      </c>
      <c r="X107" s="353">
        <f t="shared" si="21"/>
        <v>-842</v>
      </c>
    </row>
    <row r="108" spans="1:24" s="217" customFormat="1" ht="49.5" customHeight="1" thickBot="1">
      <c r="A108" s="254">
        <v>90</v>
      </c>
      <c r="B108" s="401" t="s">
        <v>344</v>
      </c>
      <c r="C108" s="356" t="s">
        <v>273</v>
      </c>
      <c r="D108" s="369" t="s">
        <v>143</v>
      </c>
      <c r="E108" s="364">
        <v>100</v>
      </c>
      <c r="F108" s="370">
        <v>9.42</v>
      </c>
      <c r="G108" s="371">
        <f t="shared" si="14"/>
        <v>942</v>
      </c>
      <c r="H108" s="373"/>
      <c r="I108" s="364">
        <v>90191010</v>
      </c>
      <c r="J108" s="376">
        <f t="shared" si="1"/>
        <v>243789.6</v>
      </c>
      <c r="K108" s="365">
        <v>250000</v>
      </c>
      <c r="L108" s="377">
        <f t="shared" si="2"/>
        <v>24378960</v>
      </c>
      <c r="M108" s="380">
        <v>0</v>
      </c>
      <c r="N108" s="378">
        <f t="shared" si="15"/>
        <v>0</v>
      </c>
      <c r="O108" s="382">
        <f t="shared" si="16"/>
        <v>24378960</v>
      </c>
      <c r="P108" s="380">
        <v>0.08</v>
      </c>
      <c r="Q108" s="378">
        <f t="shared" si="17"/>
        <v>1950316.8</v>
      </c>
      <c r="R108" s="214"/>
      <c r="S108" s="214"/>
      <c r="T108" s="215"/>
      <c r="U108" s="216"/>
      <c r="V108" s="213"/>
      <c r="W108" s="341">
        <v>11660.2</v>
      </c>
      <c r="X108" s="353">
        <f t="shared" si="21"/>
        <v>-10718.2</v>
      </c>
    </row>
    <row r="109" spans="1:24" s="217" customFormat="1" ht="49.5" customHeight="1" thickBot="1">
      <c r="A109" s="254">
        <v>91</v>
      </c>
      <c r="B109" s="401" t="s">
        <v>345</v>
      </c>
      <c r="C109" s="356" t="s">
        <v>274</v>
      </c>
      <c r="D109" s="369" t="s">
        <v>143</v>
      </c>
      <c r="E109" s="364">
        <v>370</v>
      </c>
      <c r="F109" s="370">
        <v>0.68</v>
      </c>
      <c r="G109" s="371">
        <f t="shared" si="14"/>
        <v>251.60000000000002</v>
      </c>
      <c r="H109" s="373"/>
      <c r="I109" s="364">
        <v>85013170</v>
      </c>
      <c r="J109" s="376">
        <f t="shared" si="1"/>
        <v>17598.400000000001</v>
      </c>
      <c r="K109" s="365">
        <v>18000</v>
      </c>
      <c r="L109" s="377">
        <f t="shared" si="2"/>
        <v>6511408.0000000009</v>
      </c>
      <c r="M109" s="381">
        <v>0.05</v>
      </c>
      <c r="N109" s="378">
        <f t="shared" si="15"/>
        <v>325570.40000000008</v>
      </c>
      <c r="O109" s="382">
        <f t="shared" si="16"/>
        <v>6836978.4000000013</v>
      </c>
      <c r="P109" s="380">
        <v>0.08</v>
      </c>
      <c r="Q109" s="378">
        <f t="shared" si="17"/>
        <v>546958.27200000011</v>
      </c>
      <c r="R109" s="214"/>
      <c r="S109" s="214"/>
      <c r="T109" s="215"/>
      <c r="U109" s="216"/>
      <c r="V109" s="213"/>
      <c r="W109" s="341">
        <v>12150</v>
      </c>
      <c r="X109" s="353">
        <f t="shared" si="21"/>
        <v>-11898.4</v>
      </c>
    </row>
    <row r="110" spans="1:24" s="217" customFormat="1" ht="49.5" customHeight="1" thickBot="1">
      <c r="A110" s="254">
        <v>92</v>
      </c>
      <c r="B110" s="401" t="s">
        <v>346</v>
      </c>
      <c r="C110" s="356" t="s">
        <v>274</v>
      </c>
      <c r="D110" s="369" t="s">
        <v>143</v>
      </c>
      <c r="E110" s="364">
        <v>800</v>
      </c>
      <c r="F110" s="370">
        <v>0.6</v>
      </c>
      <c r="G110" s="371">
        <f t="shared" si="14"/>
        <v>480</v>
      </c>
      <c r="H110" s="373"/>
      <c r="I110" s="364">
        <v>39241099</v>
      </c>
      <c r="J110" s="376">
        <f t="shared" si="1"/>
        <v>15528</v>
      </c>
      <c r="K110" s="365">
        <v>16000</v>
      </c>
      <c r="L110" s="377">
        <f t="shared" si="2"/>
        <v>12422400</v>
      </c>
      <c r="M110" s="380">
        <v>0</v>
      </c>
      <c r="N110" s="378">
        <f t="shared" si="15"/>
        <v>0</v>
      </c>
      <c r="O110" s="382">
        <f t="shared" si="16"/>
        <v>12422400</v>
      </c>
      <c r="P110" s="380">
        <v>0.08</v>
      </c>
      <c r="Q110" s="378">
        <f t="shared" si="17"/>
        <v>993792</v>
      </c>
      <c r="R110" s="214"/>
      <c r="S110" s="214"/>
      <c r="T110" s="215"/>
      <c r="U110" s="216"/>
      <c r="V110" s="213"/>
      <c r="W110" s="341">
        <v>14500</v>
      </c>
      <c r="X110" s="353">
        <f t="shared" si="21"/>
        <v>-14020</v>
      </c>
    </row>
    <row r="111" spans="1:24" s="217" customFormat="1" ht="49.5" customHeight="1" thickBot="1">
      <c r="A111" s="254">
        <v>93</v>
      </c>
      <c r="B111" s="431" t="s">
        <v>347</v>
      </c>
      <c r="C111" s="356" t="s">
        <v>275</v>
      </c>
      <c r="D111" s="369" t="s">
        <v>143</v>
      </c>
      <c r="E111" s="364">
        <v>50</v>
      </c>
      <c r="F111" s="370">
        <v>15.83</v>
      </c>
      <c r="G111" s="371">
        <f t="shared" si="14"/>
        <v>791.5</v>
      </c>
      <c r="H111" s="373"/>
      <c r="I111" s="364">
        <v>84834090</v>
      </c>
      <c r="J111" s="376">
        <f t="shared" si="1"/>
        <v>409680.4</v>
      </c>
      <c r="K111" s="365">
        <v>420000</v>
      </c>
      <c r="L111" s="377">
        <f t="shared" si="2"/>
        <v>20484020</v>
      </c>
      <c r="M111" s="380">
        <v>0</v>
      </c>
      <c r="N111" s="378">
        <f t="shared" si="15"/>
        <v>0</v>
      </c>
      <c r="O111" s="382">
        <f t="shared" si="16"/>
        <v>20484020</v>
      </c>
      <c r="P111" s="380">
        <v>0.08</v>
      </c>
      <c r="Q111" s="378">
        <f t="shared" si="17"/>
        <v>1638721.6</v>
      </c>
      <c r="R111" s="214"/>
      <c r="S111" s="214"/>
      <c r="T111" s="215"/>
      <c r="U111" s="216"/>
      <c r="V111" s="213"/>
      <c r="W111" s="341">
        <v>3054</v>
      </c>
      <c r="X111" s="353">
        <f t="shared" si="21"/>
        <v>-2262.5</v>
      </c>
    </row>
    <row r="112" spans="1:24" s="217" customFormat="1" ht="49.5" customHeight="1" thickBot="1">
      <c r="A112" s="254">
        <v>94</v>
      </c>
      <c r="B112" s="431"/>
      <c r="C112" s="356" t="s">
        <v>276</v>
      </c>
      <c r="D112" s="369" t="s">
        <v>154</v>
      </c>
      <c r="E112" s="364">
        <v>3</v>
      </c>
      <c r="F112" s="370">
        <v>546.61</v>
      </c>
      <c r="G112" s="371">
        <f t="shared" si="14"/>
        <v>1639.83</v>
      </c>
      <c r="H112" s="373"/>
      <c r="I112" s="364">
        <v>84529099</v>
      </c>
      <c r="J112" s="376">
        <f t="shared" si="1"/>
        <v>14146266.800000001</v>
      </c>
      <c r="K112" s="365">
        <v>14500000</v>
      </c>
      <c r="L112" s="377">
        <f t="shared" si="2"/>
        <v>42438800.399999999</v>
      </c>
      <c r="M112" s="380">
        <v>0</v>
      </c>
      <c r="N112" s="378">
        <f t="shared" si="15"/>
        <v>0</v>
      </c>
      <c r="O112" s="382">
        <f t="shared" si="16"/>
        <v>42438800.399999999</v>
      </c>
      <c r="P112" s="380">
        <v>0.08</v>
      </c>
      <c r="Q112" s="378">
        <f t="shared" si="17"/>
        <v>3395104.0320000001</v>
      </c>
      <c r="R112" s="214"/>
      <c r="S112" s="214"/>
      <c r="T112" s="215"/>
      <c r="U112" s="216"/>
      <c r="V112" s="213"/>
      <c r="W112" s="341">
        <v>735.6</v>
      </c>
      <c r="X112" s="353">
        <f t="shared" si="21"/>
        <v>904.2299999999999</v>
      </c>
    </row>
    <row r="113" spans="1:24" s="217" customFormat="1" ht="49.5" customHeight="1" thickBot="1">
      <c r="A113" s="254">
        <v>95</v>
      </c>
      <c r="B113" s="431"/>
      <c r="C113" s="356" t="s">
        <v>277</v>
      </c>
      <c r="D113" s="369" t="s">
        <v>143</v>
      </c>
      <c r="E113" s="364">
        <v>10</v>
      </c>
      <c r="F113" s="370">
        <v>16.96</v>
      </c>
      <c r="G113" s="371">
        <f t="shared" si="14"/>
        <v>169.60000000000002</v>
      </c>
      <c r="H113" s="373"/>
      <c r="I113" s="364">
        <v>84529099</v>
      </c>
      <c r="J113" s="376">
        <f t="shared" si="1"/>
        <v>438924.80000000005</v>
      </c>
      <c r="K113" s="365">
        <v>450000</v>
      </c>
      <c r="L113" s="377">
        <f t="shared" si="2"/>
        <v>4389248.0000000009</v>
      </c>
      <c r="M113" s="380">
        <v>0</v>
      </c>
      <c r="N113" s="378">
        <f t="shared" si="15"/>
        <v>0</v>
      </c>
      <c r="O113" s="382">
        <f t="shared" si="16"/>
        <v>4389248.0000000009</v>
      </c>
      <c r="P113" s="380">
        <v>0.08</v>
      </c>
      <c r="Q113" s="378">
        <f t="shared" si="17"/>
        <v>351139.84000000008</v>
      </c>
      <c r="R113" s="214"/>
      <c r="S113" s="214"/>
      <c r="T113" s="215"/>
      <c r="U113" s="216"/>
      <c r="V113" s="213"/>
      <c r="W113" s="341">
        <v>222.6</v>
      </c>
      <c r="X113" s="353">
        <f t="shared" si="21"/>
        <v>-52.999999999999972</v>
      </c>
    </row>
    <row r="114" spans="1:24" s="217" customFormat="1" ht="49.5" customHeight="1" thickBot="1">
      <c r="A114" s="254">
        <v>96</v>
      </c>
      <c r="B114" s="401" t="s">
        <v>348</v>
      </c>
      <c r="C114" s="356" t="s">
        <v>278</v>
      </c>
      <c r="D114" s="369" t="s">
        <v>80</v>
      </c>
      <c r="E114" s="364">
        <v>100</v>
      </c>
      <c r="F114" s="370">
        <v>0.8</v>
      </c>
      <c r="G114" s="371">
        <f t="shared" si="14"/>
        <v>80</v>
      </c>
      <c r="H114" s="373"/>
      <c r="I114" s="364">
        <v>67021000</v>
      </c>
      <c r="J114" s="376">
        <f t="shared" si="1"/>
        <v>20704</v>
      </c>
      <c r="K114" s="364" t="s">
        <v>182</v>
      </c>
      <c r="L114" s="377">
        <f t="shared" si="2"/>
        <v>2070400</v>
      </c>
      <c r="M114" s="380">
        <v>0</v>
      </c>
      <c r="N114" s="378">
        <f t="shared" si="15"/>
        <v>0</v>
      </c>
      <c r="O114" s="382">
        <f t="shared" si="16"/>
        <v>2070400</v>
      </c>
      <c r="P114" s="380">
        <v>0.08</v>
      </c>
      <c r="Q114" s="378">
        <f t="shared" si="17"/>
        <v>165632</v>
      </c>
      <c r="R114" s="214"/>
      <c r="S114" s="214"/>
      <c r="T114" s="215"/>
      <c r="U114" s="216"/>
      <c r="V114" s="213"/>
      <c r="W114" s="341">
        <v>528</v>
      </c>
      <c r="X114" s="353">
        <f t="shared" si="21"/>
        <v>-448</v>
      </c>
    </row>
    <row r="115" spans="1:24" s="217" customFormat="1" ht="49.5" customHeight="1" thickBot="1">
      <c r="A115" s="254">
        <v>97</v>
      </c>
      <c r="B115" s="431" t="s">
        <v>349</v>
      </c>
      <c r="C115" s="356" t="s">
        <v>424</v>
      </c>
      <c r="D115" s="369" t="s">
        <v>143</v>
      </c>
      <c r="E115" s="365">
        <v>1900</v>
      </c>
      <c r="F115" s="370">
        <v>0.75</v>
      </c>
      <c r="G115" s="371">
        <f t="shared" si="14"/>
        <v>1425</v>
      </c>
      <c r="H115" s="373"/>
      <c r="I115" s="364">
        <v>85437029</v>
      </c>
      <c r="J115" s="376">
        <f t="shared" si="1"/>
        <v>19410</v>
      </c>
      <c r="K115" s="365">
        <v>20000</v>
      </c>
      <c r="L115" s="377">
        <f t="shared" si="2"/>
        <v>36879000</v>
      </c>
      <c r="M115" s="380">
        <v>0</v>
      </c>
      <c r="N115" s="378">
        <f t="shared" si="15"/>
        <v>0</v>
      </c>
      <c r="O115" s="382">
        <f t="shared" si="16"/>
        <v>36879000</v>
      </c>
      <c r="P115" s="380">
        <v>0.08</v>
      </c>
      <c r="Q115" s="378">
        <f t="shared" si="17"/>
        <v>2950320</v>
      </c>
      <c r="R115" s="214"/>
      <c r="S115" s="214"/>
      <c r="T115" s="215"/>
      <c r="U115" s="216"/>
      <c r="V115" s="213"/>
      <c r="W115" s="341">
        <v>540</v>
      </c>
      <c r="X115" s="353">
        <f t="shared" si="21"/>
        <v>885</v>
      </c>
    </row>
    <row r="116" spans="1:24" s="217" customFormat="1" ht="49.5" customHeight="1" thickBot="1">
      <c r="A116" s="254">
        <v>98</v>
      </c>
      <c r="B116" s="431"/>
      <c r="C116" s="356" t="s">
        <v>425</v>
      </c>
      <c r="D116" s="369" t="s">
        <v>143</v>
      </c>
      <c r="E116" s="365">
        <v>6800</v>
      </c>
      <c r="F116" s="370">
        <v>0.34</v>
      </c>
      <c r="G116" s="371">
        <f t="shared" si="14"/>
        <v>2312</v>
      </c>
      <c r="H116" s="373"/>
      <c r="I116" s="364">
        <v>85437029</v>
      </c>
      <c r="J116" s="376">
        <f t="shared" si="1"/>
        <v>8799.2000000000007</v>
      </c>
      <c r="K116" s="365">
        <v>9000</v>
      </c>
      <c r="L116" s="377">
        <f t="shared" si="2"/>
        <v>59834560</v>
      </c>
      <c r="M116" s="380">
        <v>0</v>
      </c>
      <c r="N116" s="378">
        <f t="shared" si="15"/>
        <v>0</v>
      </c>
      <c r="O116" s="382">
        <f t="shared" si="16"/>
        <v>59834560</v>
      </c>
      <c r="P116" s="380">
        <v>0.08</v>
      </c>
      <c r="Q116" s="378">
        <f t="shared" si="17"/>
        <v>4786764.8</v>
      </c>
      <c r="R116" s="214"/>
      <c r="S116" s="214"/>
      <c r="T116" s="215"/>
      <c r="U116" s="216"/>
      <c r="V116" s="213"/>
      <c r="W116" s="341">
        <v>180</v>
      </c>
      <c r="X116" s="353">
        <f t="shared" si="21"/>
        <v>2132</v>
      </c>
    </row>
    <row r="117" spans="1:24" s="217" customFormat="1" ht="49.5" customHeight="1" thickBot="1">
      <c r="A117" s="254">
        <v>99</v>
      </c>
      <c r="B117" s="431"/>
      <c r="C117" s="356" t="s">
        <v>279</v>
      </c>
      <c r="D117" s="369" t="s">
        <v>143</v>
      </c>
      <c r="E117" s="365">
        <v>3450</v>
      </c>
      <c r="F117" s="370">
        <v>0.56999999999999995</v>
      </c>
      <c r="G117" s="371">
        <f t="shared" si="14"/>
        <v>1966.4999999999998</v>
      </c>
      <c r="H117" s="373"/>
      <c r="I117" s="364">
        <v>85437029</v>
      </c>
      <c r="J117" s="376">
        <f t="shared" si="1"/>
        <v>14751.599999999999</v>
      </c>
      <c r="K117" s="365">
        <v>15000</v>
      </c>
      <c r="L117" s="377">
        <f t="shared" si="2"/>
        <v>50893019.999999993</v>
      </c>
      <c r="M117" s="380">
        <v>0</v>
      </c>
      <c r="N117" s="378">
        <f t="shared" si="15"/>
        <v>0</v>
      </c>
      <c r="O117" s="382">
        <f t="shared" si="16"/>
        <v>50893019.999999993</v>
      </c>
      <c r="P117" s="380">
        <v>0.08</v>
      </c>
      <c r="Q117" s="378">
        <f t="shared" si="17"/>
        <v>4071441.5999999996</v>
      </c>
      <c r="R117" s="214"/>
      <c r="S117" s="214"/>
      <c r="T117" s="215"/>
      <c r="U117" s="216"/>
      <c r="V117" s="213"/>
      <c r="W117" s="341">
        <v>4380</v>
      </c>
      <c r="X117" s="353">
        <f t="shared" si="21"/>
        <v>-2413.5</v>
      </c>
    </row>
    <row r="118" spans="1:24" s="217" customFormat="1" ht="49.5" customHeight="1" thickBot="1">
      <c r="A118" s="254">
        <v>100</v>
      </c>
      <c r="B118" s="401" t="s">
        <v>350</v>
      </c>
      <c r="C118" s="356" t="s">
        <v>280</v>
      </c>
      <c r="D118" s="369" t="s">
        <v>143</v>
      </c>
      <c r="E118" s="364">
        <v>16</v>
      </c>
      <c r="F118" s="370">
        <v>30.16</v>
      </c>
      <c r="G118" s="371">
        <f t="shared" si="14"/>
        <v>482.56</v>
      </c>
      <c r="H118" s="373"/>
      <c r="I118" s="364">
        <v>84672900</v>
      </c>
      <c r="J118" s="376">
        <f t="shared" si="1"/>
        <v>780540.8</v>
      </c>
      <c r="K118" s="365">
        <v>800000</v>
      </c>
      <c r="L118" s="377">
        <f t="shared" si="2"/>
        <v>12488652.800000001</v>
      </c>
      <c r="M118" s="380">
        <v>0</v>
      </c>
      <c r="N118" s="378">
        <f t="shared" si="15"/>
        <v>0</v>
      </c>
      <c r="O118" s="382">
        <f t="shared" si="16"/>
        <v>12488652.800000001</v>
      </c>
      <c r="P118" s="380">
        <v>0.08</v>
      </c>
      <c r="Q118" s="378">
        <f t="shared" si="17"/>
        <v>999092.22400000005</v>
      </c>
      <c r="R118" s="214"/>
      <c r="S118" s="214"/>
      <c r="T118" s="215"/>
      <c r="U118" s="216"/>
      <c r="V118" s="213"/>
      <c r="W118" s="341">
        <v>560</v>
      </c>
      <c r="X118" s="353">
        <f t="shared" si="21"/>
        <v>-77.44</v>
      </c>
    </row>
    <row r="119" spans="1:24" s="217" customFormat="1" ht="49.5" customHeight="1" thickBot="1">
      <c r="A119" s="254">
        <v>101</v>
      </c>
      <c r="B119" s="431" t="s">
        <v>351</v>
      </c>
      <c r="C119" s="357" t="s">
        <v>281</v>
      </c>
      <c r="D119" s="369" t="s">
        <v>143</v>
      </c>
      <c r="E119" s="366">
        <v>120</v>
      </c>
      <c r="F119" s="370">
        <v>2.0699999999999998</v>
      </c>
      <c r="G119" s="371">
        <f t="shared" si="14"/>
        <v>248.39999999999998</v>
      </c>
      <c r="H119" s="373"/>
      <c r="I119" s="364">
        <v>94054290</v>
      </c>
      <c r="J119" s="376">
        <f t="shared" si="1"/>
        <v>53571.6</v>
      </c>
      <c r="K119" s="367">
        <v>55000</v>
      </c>
      <c r="L119" s="377">
        <f t="shared" si="2"/>
        <v>6428591.9999999991</v>
      </c>
      <c r="M119" s="380">
        <v>0</v>
      </c>
      <c r="N119" s="378">
        <f t="shared" si="15"/>
        <v>0</v>
      </c>
      <c r="O119" s="382">
        <f t="shared" si="16"/>
        <v>6428591.9999999991</v>
      </c>
      <c r="P119" s="380">
        <v>0.08</v>
      </c>
      <c r="Q119" s="378">
        <f t="shared" si="17"/>
        <v>514287.35999999993</v>
      </c>
      <c r="R119" s="214"/>
      <c r="S119" s="214"/>
      <c r="T119" s="215"/>
      <c r="U119" s="216"/>
      <c r="V119" s="213"/>
      <c r="W119" s="341">
        <v>448.5</v>
      </c>
      <c r="X119" s="353">
        <f t="shared" si="21"/>
        <v>-200.10000000000002</v>
      </c>
    </row>
    <row r="120" spans="1:24" s="217" customFormat="1" ht="49.5" customHeight="1" thickBot="1">
      <c r="A120" s="254">
        <v>102</v>
      </c>
      <c r="B120" s="431"/>
      <c r="C120" s="357" t="s">
        <v>282</v>
      </c>
      <c r="D120" s="369" t="s">
        <v>143</v>
      </c>
      <c r="E120" s="366">
        <v>160</v>
      </c>
      <c r="F120" s="370">
        <v>2.2599999999999998</v>
      </c>
      <c r="G120" s="371">
        <f t="shared" si="14"/>
        <v>361.59999999999997</v>
      </c>
      <c r="H120" s="373"/>
      <c r="I120" s="364">
        <v>94054290</v>
      </c>
      <c r="J120" s="376">
        <f t="shared" si="1"/>
        <v>58488.799999999996</v>
      </c>
      <c r="K120" s="367">
        <v>60000</v>
      </c>
      <c r="L120" s="377">
        <f t="shared" si="2"/>
        <v>9358208</v>
      </c>
      <c r="M120" s="380">
        <v>0</v>
      </c>
      <c r="N120" s="378">
        <f t="shared" si="15"/>
        <v>0</v>
      </c>
      <c r="O120" s="382">
        <f t="shared" si="16"/>
        <v>9358208</v>
      </c>
      <c r="P120" s="380">
        <v>0.08</v>
      </c>
      <c r="Q120" s="378">
        <f t="shared" si="17"/>
        <v>748656.64000000001</v>
      </c>
      <c r="R120" s="214"/>
      <c r="S120" s="214"/>
      <c r="T120" s="215"/>
      <c r="U120" s="216"/>
      <c r="V120" s="213"/>
      <c r="W120" s="341">
        <v>897</v>
      </c>
      <c r="X120" s="353">
        <f t="shared" si="21"/>
        <v>-535.40000000000009</v>
      </c>
    </row>
    <row r="121" spans="1:24" s="217" customFormat="1" ht="49.5" customHeight="1" thickBot="1">
      <c r="A121" s="254">
        <v>103</v>
      </c>
      <c r="B121" s="431"/>
      <c r="C121" s="357" t="s">
        <v>283</v>
      </c>
      <c r="D121" s="369" t="s">
        <v>143</v>
      </c>
      <c r="E121" s="366">
        <v>200</v>
      </c>
      <c r="F121" s="370">
        <v>2.4500000000000002</v>
      </c>
      <c r="G121" s="371">
        <f t="shared" si="14"/>
        <v>490.00000000000006</v>
      </c>
      <c r="H121" s="373"/>
      <c r="I121" s="364">
        <v>94054290</v>
      </c>
      <c r="J121" s="376">
        <f t="shared" si="1"/>
        <v>63406.000000000007</v>
      </c>
      <c r="K121" s="367">
        <v>65000</v>
      </c>
      <c r="L121" s="377">
        <f t="shared" si="2"/>
        <v>12681200.000000002</v>
      </c>
      <c r="M121" s="380">
        <v>0</v>
      </c>
      <c r="N121" s="378">
        <f t="shared" si="15"/>
        <v>0</v>
      </c>
      <c r="O121" s="382">
        <f t="shared" si="16"/>
        <v>12681200.000000002</v>
      </c>
      <c r="P121" s="380">
        <v>0.08</v>
      </c>
      <c r="Q121" s="378">
        <f t="shared" si="17"/>
        <v>1014496.0000000001</v>
      </c>
      <c r="R121" s="214"/>
      <c r="S121" s="214"/>
      <c r="T121" s="215"/>
      <c r="U121" s="216"/>
      <c r="V121" s="213"/>
      <c r="W121" s="341">
        <v>135.6</v>
      </c>
      <c r="X121" s="353">
        <f t="shared" si="21"/>
        <v>354.40000000000009</v>
      </c>
    </row>
    <row r="122" spans="1:24" s="217" customFormat="1" ht="49.5" customHeight="1" thickBot="1">
      <c r="A122" s="254">
        <v>104</v>
      </c>
      <c r="B122" s="431"/>
      <c r="C122" s="357" t="s">
        <v>284</v>
      </c>
      <c r="D122" s="369" t="s">
        <v>143</v>
      </c>
      <c r="E122" s="366">
        <v>600</v>
      </c>
      <c r="F122" s="370">
        <v>2.64</v>
      </c>
      <c r="G122" s="371">
        <f t="shared" si="14"/>
        <v>1584</v>
      </c>
      <c r="H122" s="373"/>
      <c r="I122" s="364">
        <v>94054290</v>
      </c>
      <c r="J122" s="376">
        <f t="shared" si="1"/>
        <v>68323.199999999997</v>
      </c>
      <c r="K122" s="367">
        <v>70000</v>
      </c>
      <c r="L122" s="377">
        <f t="shared" si="2"/>
        <v>40993920</v>
      </c>
      <c r="M122" s="380">
        <v>0</v>
      </c>
      <c r="N122" s="378">
        <f t="shared" si="15"/>
        <v>0</v>
      </c>
      <c r="O122" s="382">
        <f t="shared" si="16"/>
        <v>40993920</v>
      </c>
      <c r="P122" s="380">
        <v>0.08</v>
      </c>
      <c r="Q122" s="378">
        <f t="shared" si="17"/>
        <v>3279513.6000000001</v>
      </c>
      <c r="R122" s="214"/>
      <c r="S122" s="214"/>
      <c r="T122" s="215"/>
      <c r="U122" s="216"/>
      <c r="V122" s="213"/>
      <c r="W122" s="341">
        <v>45.2</v>
      </c>
      <c r="X122" s="353">
        <f t="shared" si="21"/>
        <v>1538.8</v>
      </c>
    </row>
    <row r="123" spans="1:24" s="217" customFormat="1" ht="49.5" customHeight="1" thickBot="1">
      <c r="A123" s="254">
        <v>105</v>
      </c>
      <c r="B123" s="431"/>
      <c r="C123" s="357" t="s">
        <v>285</v>
      </c>
      <c r="D123" s="369" t="s">
        <v>143</v>
      </c>
      <c r="E123" s="366">
        <v>800</v>
      </c>
      <c r="F123" s="370">
        <v>2.83</v>
      </c>
      <c r="G123" s="371">
        <f t="shared" si="14"/>
        <v>2264</v>
      </c>
      <c r="H123" s="373"/>
      <c r="I123" s="364">
        <v>94054290</v>
      </c>
      <c r="J123" s="376">
        <f t="shared" si="1"/>
        <v>73240.400000000009</v>
      </c>
      <c r="K123" s="367">
        <v>75000</v>
      </c>
      <c r="L123" s="377">
        <f t="shared" si="2"/>
        <v>58592320</v>
      </c>
      <c r="M123" s="380">
        <v>0</v>
      </c>
      <c r="N123" s="378">
        <f t="shared" si="15"/>
        <v>0</v>
      </c>
      <c r="O123" s="382">
        <f t="shared" si="16"/>
        <v>58592320</v>
      </c>
      <c r="P123" s="380">
        <v>0.08</v>
      </c>
      <c r="Q123" s="378">
        <f t="shared" si="17"/>
        <v>4687385.6000000006</v>
      </c>
      <c r="R123" s="214"/>
      <c r="S123" s="214"/>
      <c r="T123" s="215"/>
      <c r="U123" s="216"/>
      <c r="V123" s="213"/>
      <c r="W123" s="341">
        <v>423.36</v>
      </c>
      <c r="X123" s="353">
        <f t="shared" si="21"/>
        <v>1840.6399999999999</v>
      </c>
    </row>
    <row r="124" spans="1:24" s="217" customFormat="1" ht="49.5" customHeight="1" thickBot="1">
      <c r="A124" s="254">
        <v>106</v>
      </c>
      <c r="B124" s="431"/>
      <c r="C124" s="357" t="s">
        <v>286</v>
      </c>
      <c r="D124" s="369" t="s">
        <v>143</v>
      </c>
      <c r="E124" s="366">
        <v>600</v>
      </c>
      <c r="F124" s="370">
        <v>3.02</v>
      </c>
      <c r="G124" s="371">
        <f t="shared" si="14"/>
        <v>1812</v>
      </c>
      <c r="H124" s="373"/>
      <c r="I124" s="364">
        <v>94054290</v>
      </c>
      <c r="J124" s="376">
        <f t="shared" si="1"/>
        <v>78157.600000000006</v>
      </c>
      <c r="K124" s="367">
        <v>80000</v>
      </c>
      <c r="L124" s="377">
        <f t="shared" si="2"/>
        <v>46894560</v>
      </c>
      <c r="M124" s="380">
        <v>0</v>
      </c>
      <c r="N124" s="378">
        <f t="shared" si="15"/>
        <v>0</v>
      </c>
      <c r="O124" s="382">
        <f t="shared" si="16"/>
        <v>46894560</v>
      </c>
      <c r="P124" s="380">
        <v>0.08</v>
      </c>
      <c r="Q124" s="378">
        <f t="shared" si="17"/>
        <v>3751564.8000000003</v>
      </c>
      <c r="R124" s="214"/>
      <c r="S124" s="214"/>
      <c r="T124" s="215"/>
      <c r="U124" s="216"/>
      <c r="V124" s="213"/>
      <c r="W124" s="341">
        <v>43.008000000000003</v>
      </c>
      <c r="X124" s="353">
        <f t="shared" si="21"/>
        <v>1768.992</v>
      </c>
    </row>
    <row r="125" spans="1:24" s="217" customFormat="1" ht="49.5" customHeight="1" thickBot="1">
      <c r="A125" s="254">
        <v>107</v>
      </c>
      <c r="B125" s="431"/>
      <c r="C125" s="357" t="s">
        <v>287</v>
      </c>
      <c r="D125" s="369" t="s">
        <v>143</v>
      </c>
      <c r="E125" s="366">
        <v>400</v>
      </c>
      <c r="F125" s="370">
        <v>3.2</v>
      </c>
      <c r="G125" s="371">
        <f t="shared" si="14"/>
        <v>1280</v>
      </c>
      <c r="H125" s="373"/>
      <c r="I125" s="364">
        <v>94054290</v>
      </c>
      <c r="J125" s="376">
        <f t="shared" si="1"/>
        <v>82816</v>
      </c>
      <c r="K125" s="367">
        <v>85000</v>
      </c>
      <c r="L125" s="377">
        <f t="shared" si="2"/>
        <v>33126400</v>
      </c>
      <c r="M125" s="380">
        <v>0</v>
      </c>
      <c r="N125" s="378">
        <f t="shared" si="15"/>
        <v>0</v>
      </c>
      <c r="O125" s="382">
        <f t="shared" si="16"/>
        <v>33126400</v>
      </c>
      <c r="P125" s="380">
        <v>0.08</v>
      </c>
      <c r="Q125" s="378">
        <f t="shared" si="17"/>
        <v>2650112</v>
      </c>
      <c r="R125" s="214"/>
      <c r="S125" s="214"/>
      <c r="T125" s="215"/>
      <c r="U125" s="216"/>
      <c r="V125" s="213"/>
      <c r="W125" s="341">
        <v>43.2</v>
      </c>
      <c r="X125" s="353">
        <f t="shared" si="21"/>
        <v>1236.8</v>
      </c>
    </row>
    <row r="126" spans="1:24" s="217" customFormat="1" ht="49.5" customHeight="1" thickBot="1">
      <c r="A126" s="254">
        <v>108</v>
      </c>
      <c r="B126" s="431"/>
      <c r="C126" s="357" t="s">
        <v>288</v>
      </c>
      <c r="D126" s="369" t="s">
        <v>143</v>
      </c>
      <c r="E126" s="366">
        <v>250</v>
      </c>
      <c r="F126" s="370">
        <v>2.2599999999999998</v>
      </c>
      <c r="G126" s="371">
        <f t="shared" si="14"/>
        <v>565</v>
      </c>
      <c r="H126" s="373"/>
      <c r="I126" s="364">
        <v>94054290</v>
      </c>
      <c r="J126" s="376">
        <f t="shared" si="1"/>
        <v>58488.799999999996</v>
      </c>
      <c r="K126" s="367">
        <v>60000</v>
      </c>
      <c r="L126" s="377">
        <f t="shared" si="2"/>
        <v>14622200</v>
      </c>
      <c r="M126" s="380">
        <v>0</v>
      </c>
      <c r="N126" s="378">
        <f t="shared" si="15"/>
        <v>0</v>
      </c>
      <c r="O126" s="382">
        <f t="shared" si="16"/>
        <v>14622200</v>
      </c>
      <c r="P126" s="380">
        <v>0.08</v>
      </c>
      <c r="Q126" s="378">
        <f t="shared" si="17"/>
        <v>1169776</v>
      </c>
      <c r="R126" s="214"/>
      <c r="S126" s="214"/>
      <c r="T126" s="215"/>
      <c r="U126" s="216"/>
      <c r="V126" s="213"/>
      <c r="W126" s="341">
        <v>51.12</v>
      </c>
      <c r="X126" s="353">
        <f t="shared" si="21"/>
        <v>513.88</v>
      </c>
    </row>
    <row r="127" spans="1:24" s="217" customFormat="1" ht="49.5" customHeight="1" thickBot="1">
      <c r="A127" s="254">
        <v>109</v>
      </c>
      <c r="B127" s="431"/>
      <c r="C127" s="357" t="s">
        <v>289</v>
      </c>
      <c r="D127" s="369" t="s">
        <v>143</v>
      </c>
      <c r="E127" s="366">
        <v>250</v>
      </c>
      <c r="F127" s="370">
        <v>2.64</v>
      </c>
      <c r="G127" s="371">
        <f t="shared" si="14"/>
        <v>660</v>
      </c>
      <c r="H127" s="373"/>
      <c r="I127" s="364">
        <v>94054290</v>
      </c>
      <c r="J127" s="376">
        <f t="shared" si="1"/>
        <v>68323.199999999997</v>
      </c>
      <c r="K127" s="367">
        <v>70000</v>
      </c>
      <c r="L127" s="377">
        <f t="shared" si="2"/>
        <v>17080800</v>
      </c>
      <c r="M127" s="380">
        <v>0</v>
      </c>
      <c r="N127" s="378">
        <f t="shared" si="15"/>
        <v>0</v>
      </c>
      <c r="O127" s="382">
        <f t="shared" si="16"/>
        <v>17080800</v>
      </c>
      <c r="P127" s="380">
        <v>0.08</v>
      </c>
      <c r="Q127" s="378">
        <f t="shared" si="17"/>
        <v>1366464</v>
      </c>
      <c r="R127" s="214"/>
      <c r="S127" s="214"/>
      <c r="T127" s="215"/>
      <c r="U127" s="216"/>
      <c r="V127" s="213"/>
      <c r="W127" s="341">
        <v>57.6</v>
      </c>
      <c r="X127" s="353">
        <f t="shared" si="21"/>
        <v>602.4</v>
      </c>
    </row>
    <row r="128" spans="1:24" s="217" customFormat="1" ht="49.5" customHeight="1" thickBot="1">
      <c r="A128" s="254">
        <v>110</v>
      </c>
      <c r="B128" s="431"/>
      <c r="C128" s="357" t="s">
        <v>290</v>
      </c>
      <c r="D128" s="369" t="s">
        <v>143</v>
      </c>
      <c r="E128" s="366">
        <v>250</v>
      </c>
      <c r="F128" s="370">
        <v>3.02</v>
      </c>
      <c r="G128" s="371">
        <f t="shared" si="14"/>
        <v>755</v>
      </c>
      <c r="H128" s="373"/>
      <c r="I128" s="364">
        <v>94054290</v>
      </c>
      <c r="J128" s="376">
        <f t="shared" si="1"/>
        <v>78157.600000000006</v>
      </c>
      <c r="K128" s="367">
        <v>80000</v>
      </c>
      <c r="L128" s="377">
        <f t="shared" si="2"/>
        <v>19539400</v>
      </c>
      <c r="M128" s="380">
        <v>0</v>
      </c>
      <c r="N128" s="378">
        <f t="shared" si="15"/>
        <v>0</v>
      </c>
      <c r="O128" s="382">
        <f t="shared" si="16"/>
        <v>19539400</v>
      </c>
      <c r="P128" s="380">
        <v>0.08</v>
      </c>
      <c r="Q128" s="378">
        <f t="shared" si="17"/>
        <v>1563152</v>
      </c>
      <c r="R128" s="214"/>
      <c r="S128" s="214"/>
      <c r="T128" s="215"/>
      <c r="U128" s="216"/>
      <c r="V128" s="213"/>
      <c r="W128" s="341">
        <v>68.88</v>
      </c>
      <c r="X128" s="353">
        <f t="shared" si="21"/>
        <v>686.12</v>
      </c>
    </row>
    <row r="129" spans="1:24" s="217" customFormat="1" ht="49.5" customHeight="1" thickBot="1">
      <c r="A129" s="254">
        <v>111</v>
      </c>
      <c r="B129" s="431"/>
      <c r="C129" s="357" t="s">
        <v>291</v>
      </c>
      <c r="D129" s="369" t="s">
        <v>143</v>
      </c>
      <c r="E129" s="366">
        <v>250</v>
      </c>
      <c r="F129" s="370">
        <v>3.39</v>
      </c>
      <c r="G129" s="371">
        <f t="shared" si="14"/>
        <v>847.5</v>
      </c>
      <c r="H129" s="373"/>
      <c r="I129" s="364">
        <v>94054290</v>
      </c>
      <c r="J129" s="376">
        <f t="shared" si="1"/>
        <v>87733.2</v>
      </c>
      <c r="K129" s="367">
        <v>90000</v>
      </c>
      <c r="L129" s="377">
        <f t="shared" si="2"/>
        <v>21933300</v>
      </c>
      <c r="M129" s="380">
        <v>0</v>
      </c>
      <c r="N129" s="378">
        <f t="shared" si="15"/>
        <v>0</v>
      </c>
      <c r="O129" s="382">
        <f t="shared" si="16"/>
        <v>21933300</v>
      </c>
      <c r="P129" s="380">
        <v>0.08</v>
      </c>
      <c r="Q129" s="378">
        <f t="shared" si="17"/>
        <v>1754664</v>
      </c>
      <c r="R129" s="214">
        <v>150</v>
      </c>
      <c r="S129" s="214">
        <f t="shared" ref="S129:S140" si="22">G129/R129</f>
        <v>5.65</v>
      </c>
      <c r="T129" s="215">
        <f t="shared" ref="T129:T140" si="23">L129</f>
        <v>21933300</v>
      </c>
      <c r="U129" s="216">
        <v>0</v>
      </c>
      <c r="V129" s="213">
        <f t="shared" ref="V129:V140" si="24">T129*U129</f>
        <v>0</v>
      </c>
      <c r="W129" s="341">
        <v>73.2</v>
      </c>
      <c r="X129" s="353">
        <f t="shared" si="21"/>
        <v>774.3</v>
      </c>
    </row>
    <row r="130" spans="1:24" s="217" customFormat="1" ht="49.5" customHeight="1" thickBot="1">
      <c r="A130" s="254">
        <v>112</v>
      </c>
      <c r="B130" s="431"/>
      <c r="C130" s="357" t="s">
        <v>292</v>
      </c>
      <c r="D130" s="369" t="s">
        <v>143</v>
      </c>
      <c r="E130" s="367">
        <v>2000</v>
      </c>
      <c r="F130" s="370">
        <v>2.0699999999999998</v>
      </c>
      <c r="G130" s="371">
        <f t="shared" si="14"/>
        <v>4140</v>
      </c>
      <c r="H130" s="373"/>
      <c r="I130" s="364">
        <v>94054290</v>
      </c>
      <c r="J130" s="376">
        <f t="shared" si="1"/>
        <v>53571.6</v>
      </c>
      <c r="K130" s="367">
        <v>55000</v>
      </c>
      <c r="L130" s="377">
        <f t="shared" si="2"/>
        <v>107143200</v>
      </c>
      <c r="M130" s="380">
        <v>0</v>
      </c>
      <c r="N130" s="371">
        <f t="shared" si="15"/>
        <v>0</v>
      </c>
      <c r="O130" s="382">
        <f t="shared" si="16"/>
        <v>107143200</v>
      </c>
      <c r="P130" s="380">
        <v>0.08</v>
      </c>
      <c r="Q130" s="378">
        <f t="shared" si="17"/>
        <v>8571456</v>
      </c>
      <c r="R130" s="214">
        <v>151</v>
      </c>
      <c r="S130" s="214">
        <f t="shared" si="22"/>
        <v>27.417218543046356</v>
      </c>
      <c r="T130" s="215">
        <f t="shared" si="23"/>
        <v>107143200</v>
      </c>
      <c r="U130" s="216">
        <v>0</v>
      </c>
      <c r="V130" s="213">
        <f t="shared" si="24"/>
        <v>0</v>
      </c>
      <c r="W130" s="341">
        <v>51.84</v>
      </c>
      <c r="X130" s="353">
        <f t="shared" si="21"/>
        <v>4088.16</v>
      </c>
    </row>
    <row r="131" spans="1:24" s="217" customFormat="1" ht="49.5" customHeight="1" thickBot="1">
      <c r="A131" s="254">
        <v>113</v>
      </c>
      <c r="B131" s="431"/>
      <c r="C131" s="357" t="s">
        <v>293</v>
      </c>
      <c r="D131" s="369" t="s">
        <v>143</v>
      </c>
      <c r="E131" s="366">
        <v>300</v>
      </c>
      <c r="F131" s="370">
        <v>2.64</v>
      </c>
      <c r="G131" s="371">
        <f t="shared" si="14"/>
        <v>792</v>
      </c>
      <c r="H131" s="373"/>
      <c r="I131" s="364">
        <v>94054290</v>
      </c>
      <c r="J131" s="376">
        <f t="shared" si="1"/>
        <v>68323.199999999997</v>
      </c>
      <c r="K131" s="367">
        <v>70000</v>
      </c>
      <c r="L131" s="377">
        <f t="shared" si="2"/>
        <v>20496960</v>
      </c>
      <c r="M131" s="380">
        <v>0</v>
      </c>
      <c r="N131" s="371">
        <f t="shared" si="15"/>
        <v>0</v>
      </c>
      <c r="O131" s="382">
        <f t="shared" si="16"/>
        <v>20496960</v>
      </c>
      <c r="P131" s="380">
        <v>0.08</v>
      </c>
      <c r="Q131" s="378">
        <f t="shared" si="17"/>
        <v>1639756.8</v>
      </c>
      <c r="R131" s="214">
        <v>152</v>
      </c>
      <c r="S131" s="214">
        <f t="shared" si="22"/>
        <v>5.2105263157894735</v>
      </c>
      <c r="T131" s="215">
        <f t="shared" si="23"/>
        <v>20496960</v>
      </c>
      <c r="U131" s="216">
        <v>0</v>
      </c>
      <c r="V131" s="213">
        <f t="shared" si="24"/>
        <v>0</v>
      </c>
      <c r="W131" s="341">
        <v>49.92</v>
      </c>
      <c r="X131" s="353">
        <f t="shared" si="21"/>
        <v>742.08</v>
      </c>
    </row>
    <row r="132" spans="1:24" s="217" customFormat="1" ht="49.5" customHeight="1" thickBot="1">
      <c r="A132" s="254">
        <v>114</v>
      </c>
      <c r="B132" s="431"/>
      <c r="C132" s="357" t="s">
        <v>294</v>
      </c>
      <c r="D132" s="369" t="s">
        <v>143</v>
      </c>
      <c r="E132" s="366">
        <v>250</v>
      </c>
      <c r="F132" s="370">
        <v>3.39</v>
      </c>
      <c r="G132" s="371">
        <f t="shared" si="14"/>
        <v>847.5</v>
      </c>
      <c r="H132" s="373"/>
      <c r="I132" s="364">
        <v>94054290</v>
      </c>
      <c r="J132" s="376">
        <f t="shared" si="1"/>
        <v>87733.2</v>
      </c>
      <c r="K132" s="367">
        <v>90000</v>
      </c>
      <c r="L132" s="377">
        <f t="shared" si="2"/>
        <v>21933300</v>
      </c>
      <c r="M132" s="380">
        <v>0</v>
      </c>
      <c r="N132" s="378">
        <f t="shared" si="15"/>
        <v>0</v>
      </c>
      <c r="O132" s="382">
        <f t="shared" si="16"/>
        <v>21933300</v>
      </c>
      <c r="P132" s="380">
        <v>0.08</v>
      </c>
      <c r="Q132" s="378">
        <f t="shared" si="17"/>
        <v>1754664</v>
      </c>
      <c r="R132" s="214">
        <v>153</v>
      </c>
      <c r="S132" s="214">
        <f t="shared" si="22"/>
        <v>5.5392156862745097</v>
      </c>
      <c r="T132" s="215">
        <f t="shared" si="23"/>
        <v>21933300</v>
      </c>
      <c r="U132" s="216">
        <v>0</v>
      </c>
      <c r="V132" s="213">
        <f t="shared" si="24"/>
        <v>0</v>
      </c>
      <c r="W132" s="341">
        <v>52.92</v>
      </c>
      <c r="X132" s="353">
        <f t="shared" si="21"/>
        <v>794.58</v>
      </c>
    </row>
    <row r="133" spans="1:24" s="217" customFormat="1" ht="49.5" customHeight="1" thickBot="1">
      <c r="A133" s="254">
        <v>115</v>
      </c>
      <c r="B133" s="431"/>
      <c r="C133" s="357" t="s">
        <v>295</v>
      </c>
      <c r="D133" s="369" t="s">
        <v>143</v>
      </c>
      <c r="E133" s="366">
        <v>400</v>
      </c>
      <c r="F133" s="370">
        <v>4.9000000000000004</v>
      </c>
      <c r="G133" s="371">
        <f t="shared" si="14"/>
        <v>1960.0000000000002</v>
      </c>
      <c r="H133" s="373"/>
      <c r="I133" s="364">
        <v>94054290</v>
      </c>
      <c r="J133" s="376">
        <f t="shared" si="1"/>
        <v>126812.00000000001</v>
      </c>
      <c r="K133" s="367">
        <v>130000</v>
      </c>
      <c r="L133" s="377">
        <f t="shared" si="2"/>
        <v>50724800.000000007</v>
      </c>
      <c r="M133" s="380">
        <v>0</v>
      </c>
      <c r="N133" s="378">
        <f t="shared" si="15"/>
        <v>0</v>
      </c>
      <c r="O133" s="382">
        <f t="shared" si="16"/>
        <v>50724800.000000007</v>
      </c>
      <c r="P133" s="380">
        <v>0.08</v>
      </c>
      <c r="Q133" s="378">
        <f t="shared" si="17"/>
        <v>4057984.0000000005</v>
      </c>
      <c r="R133" s="214">
        <v>154</v>
      </c>
      <c r="S133" s="214">
        <f t="shared" si="22"/>
        <v>12.727272727272728</v>
      </c>
      <c r="T133" s="215">
        <f t="shared" si="23"/>
        <v>50724800.000000007</v>
      </c>
      <c r="U133" s="216">
        <v>0</v>
      </c>
      <c r="V133" s="213">
        <f t="shared" si="24"/>
        <v>0</v>
      </c>
      <c r="W133" s="341">
        <v>79.92</v>
      </c>
      <c r="X133" s="353">
        <f t="shared" si="21"/>
        <v>1880.0800000000002</v>
      </c>
    </row>
    <row r="134" spans="1:24" s="217" customFormat="1" ht="49.5" customHeight="1" thickBot="1">
      <c r="A134" s="254">
        <v>116</v>
      </c>
      <c r="B134" s="432" t="s">
        <v>352</v>
      </c>
      <c r="C134" s="356" t="s">
        <v>296</v>
      </c>
      <c r="D134" s="369" t="s">
        <v>80</v>
      </c>
      <c r="E134" s="364">
        <v>400</v>
      </c>
      <c r="F134" s="370">
        <v>0.8</v>
      </c>
      <c r="G134" s="371">
        <f t="shared" si="14"/>
        <v>320</v>
      </c>
      <c r="H134" s="373"/>
      <c r="I134" s="364">
        <v>48192000</v>
      </c>
      <c r="J134" s="376">
        <f t="shared" si="1"/>
        <v>20704</v>
      </c>
      <c r="K134" s="364" t="s">
        <v>359</v>
      </c>
      <c r="L134" s="377">
        <f t="shared" si="2"/>
        <v>8281600</v>
      </c>
      <c r="M134" s="381">
        <v>0.15</v>
      </c>
      <c r="N134" s="378">
        <f t="shared" si="15"/>
        <v>1242240</v>
      </c>
      <c r="O134" s="382">
        <f t="shared" si="16"/>
        <v>9523840</v>
      </c>
      <c r="P134" s="380">
        <v>0.08</v>
      </c>
      <c r="Q134" s="378">
        <f t="shared" si="17"/>
        <v>761907.20000000007</v>
      </c>
      <c r="R134" s="214">
        <v>155</v>
      </c>
      <c r="S134" s="214">
        <f t="shared" si="22"/>
        <v>2.064516129032258</v>
      </c>
      <c r="T134" s="215">
        <f t="shared" si="23"/>
        <v>8281600</v>
      </c>
      <c r="U134" s="216">
        <v>0</v>
      </c>
      <c r="V134" s="213">
        <f t="shared" si="24"/>
        <v>0</v>
      </c>
      <c r="W134" s="341">
        <v>160.80000000000001</v>
      </c>
      <c r="X134" s="353">
        <f t="shared" si="21"/>
        <v>159.19999999999999</v>
      </c>
    </row>
    <row r="135" spans="1:24" s="217" customFormat="1" ht="49.5" customHeight="1" thickBot="1">
      <c r="A135" s="254">
        <v>117</v>
      </c>
      <c r="B135" s="432"/>
      <c r="C135" s="356" t="s">
        <v>297</v>
      </c>
      <c r="D135" s="369" t="s">
        <v>80</v>
      </c>
      <c r="E135" s="364">
        <v>100</v>
      </c>
      <c r="F135" s="370">
        <v>1.3</v>
      </c>
      <c r="G135" s="371">
        <f t="shared" si="14"/>
        <v>130</v>
      </c>
      <c r="H135" s="373"/>
      <c r="I135" s="364">
        <v>39239090</v>
      </c>
      <c r="J135" s="376">
        <f t="shared" si="1"/>
        <v>33644</v>
      </c>
      <c r="K135" s="364" t="s">
        <v>360</v>
      </c>
      <c r="L135" s="377">
        <f t="shared" si="2"/>
        <v>3364400</v>
      </c>
      <c r="M135" s="380">
        <v>0</v>
      </c>
      <c r="N135" s="378">
        <f t="shared" si="15"/>
        <v>0</v>
      </c>
      <c r="O135" s="382">
        <f t="shared" si="16"/>
        <v>3364400</v>
      </c>
      <c r="P135" s="380">
        <v>0.08</v>
      </c>
      <c r="Q135" s="378">
        <f t="shared" si="17"/>
        <v>269152</v>
      </c>
      <c r="R135" s="214">
        <v>156</v>
      </c>
      <c r="S135" s="214">
        <f t="shared" si="22"/>
        <v>0.83333333333333337</v>
      </c>
      <c r="T135" s="215">
        <f t="shared" si="23"/>
        <v>3364400</v>
      </c>
      <c r="U135" s="216">
        <v>0</v>
      </c>
      <c r="V135" s="213">
        <f t="shared" si="24"/>
        <v>0</v>
      </c>
      <c r="W135" s="341">
        <v>85.248000000000005</v>
      </c>
      <c r="X135" s="353">
        <f t="shared" si="21"/>
        <v>44.751999999999995</v>
      </c>
    </row>
    <row r="136" spans="1:24" s="217" customFormat="1" ht="49.5" customHeight="1" thickBot="1">
      <c r="A136" s="254">
        <v>118</v>
      </c>
      <c r="B136" s="400" t="s">
        <v>353</v>
      </c>
      <c r="C136" s="356" t="s">
        <v>298</v>
      </c>
      <c r="D136" s="369" t="s">
        <v>153</v>
      </c>
      <c r="E136" s="364">
        <v>200</v>
      </c>
      <c r="F136" s="370">
        <v>1.1299999999999999</v>
      </c>
      <c r="G136" s="371">
        <f t="shared" si="14"/>
        <v>225.99999999999997</v>
      </c>
      <c r="H136" s="373"/>
      <c r="I136" s="364">
        <v>64029199</v>
      </c>
      <c r="J136" s="376">
        <f t="shared" si="1"/>
        <v>29244.399999999998</v>
      </c>
      <c r="K136" s="365">
        <v>30000</v>
      </c>
      <c r="L136" s="377">
        <f t="shared" si="2"/>
        <v>5848879.9999999991</v>
      </c>
      <c r="M136" s="380">
        <v>0</v>
      </c>
      <c r="N136" s="378">
        <f t="shared" si="15"/>
        <v>0</v>
      </c>
      <c r="O136" s="382">
        <f t="shared" si="16"/>
        <v>5848879.9999999991</v>
      </c>
      <c r="P136" s="380">
        <v>0.08</v>
      </c>
      <c r="Q136" s="378">
        <f t="shared" si="17"/>
        <v>467910.39999999991</v>
      </c>
      <c r="R136" s="214">
        <v>157</v>
      </c>
      <c r="S136" s="214">
        <f t="shared" si="22"/>
        <v>1.4394904458598725</v>
      </c>
      <c r="T136" s="215">
        <f t="shared" si="23"/>
        <v>5848879.9999999991</v>
      </c>
      <c r="U136" s="216">
        <v>0</v>
      </c>
      <c r="V136" s="213">
        <f t="shared" si="24"/>
        <v>0</v>
      </c>
      <c r="W136" s="341">
        <v>357.12</v>
      </c>
      <c r="X136" s="353">
        <f t="shared" si="21"/>
        <v>-131.12000000000003</v>
      </c>
    </row>
    <row r="137" spans="1:24" s="217" customFormat="1" ht="49.5" customHeight="1" thickBot="1">
      <c r="A137" s="254">
        <v>119</v>
      </c>
      <c r="B137" s="400" t="s">
        <v>354</v>
      </c>
      <c r="C137" s="356" t="s">
        <v>299</v>
      </c>
      <c r="D137" s="369" t="s">
        <v>154</v>
      </c>
      <c r="E137" s="364">
        <v>500</v>
      </c>
      <c r="F137" s="370">
        <v>0.89</v>
      </c>
      <c r="G137" s="371">
        <f t="shared" si="14"/>
        <v>445</v>
      </c>
      <c r="H137" s="373"/>
      <c r="I137" s="364">
        <v>39269099</v>
      </c>
      <c r="J137" s="376">
        <f t="shared" si="1"/>
        <v>23033.200000000001</v>
      </c>
      <c r="K137" s="365">
        <v>23700</v>
      </c>
      <c r="L137" s="377">
        <f t="shared" si="2"/>
        <v>11516600</v>
      </c>
      <c r="M137" s="380">
        <v>0</v>
      </c>
      <c r="N137" s="378">
        <f t="shared" si="15"/>
        <v>0</v>
      </c>
      <c r="O137" s="382">
        <f t="shared" si="16"/>
        <v>11516600</v>
      </c>
      <c r="P137" s="380">
        <v>0.08</v>
      </c>
      <c r="Q137" s="378">
        <f t="shared" si="17"/>
        <v>921328</v>
      </c>
      <c r="R137" s="214">
        <v>158</v>
      </c>
      <c r="S137" s="214">
        <f t="shared" si="22"/>
        <v>2.8164556962025316</v>
      </c>
      <c r="T137" s="215">
        <f t="shared" si="23"/>
        <v>11516600</v>
      </c>
      <c r="U137" s="216">
        <v>0</v>
      </c>
      <c r="V137" s="213">
        <f t="shared" si="24"/>
        <v>0</v>
      </c>
      <c r="W137" s="341">
        <v>250.88</v>
      </c>
      <c r="X137" s="353">
        <f t="shared" si="21"/>
        <v>194.12</v>
      </c>
    </row>
    <row r="138" spans="1:24" s="217" customFormat="1" ht="49.5" customHeight="1" thickBot="1">
      <c r="A138" s="254">
        <v>120</v>
      </c>
      <c r="B138" s="432" t="s">
        <v>355</v>
      </c>
      <c r="C138" s="356" t="s">
        <v>300</v>
      </c>
      <c r="D138" s="369" t="s">
        <v>143</v>
      </c>
      <c r="E138" s="364">
        <v>200</v>
      </c>
      <c r="F138" s="370">
        <v>1.39</v>
      </c>
      <c r="G138" s="371">
        <f t="shared" si="14"/>
        <v>278</v>
      </c>
      <c r="H138" s="373"/>
      <c r="I138" s="364">
        <v>84313120</v>
      </c>
      <c r="J138" s="376">
        <f t="shared" si="1"/>
        <v>35973.199999999997</v>
      </c>
      <c r="K138" s="365">
        <v>37000</v>
      </c>
      <c r="L138" s="377">
        <f t="shared" si="2"/>
        <v>7194640</v>
      </c>
      <c r="M138" s="380">
        <v>0</v>
      </c>
      <c r="N138" s="378">
        <f t="shared" si="15"/>
        <v>0</v>
      </c>
      <c r="O138" s="382">
        <f t="shared" si="16"/>
        <v>7194640</v>
      </c>
      <c r="P138" s="380">
        <v>0.08</v>
      </c>
      <c r="Q138" s="378">
        <f t="shared" si="17"/>
        <v>575571.20000000007</v>
      </c>
      <c r="R138" s="214">
        <v>159</v>
      </c>
      <c r="S138" s="214">
        <f t="shared" si="22"/>
        <v>1.7484276729559749</v>
      </c>
      <c r="T138" s="215">
        <f t="shared" si="23"/>
        <v>7194640</v>
      </c>
      <c r="U138" s="216">
        <v>0</v>
      </c>
      <c r="V138" s="213">
        <f t="shared" si="24"/>
        <v>0</v>
      </c>
      <c r="W138" s="341">
        <v>282.24</v>
      </c>
      <c r="X138" s="353">
        <f t="shared" si="21"/>
        <v>-4.2400000000000091</v>
      </c>
    </row>
    <row r="139" spans="1:24" s="217" customFormat="1" ht="49.5" customHeight="1" thickBot="1">
      <c r="A139" s="254">
        <v>121</v>
      </c>
      <c r="B139" s="432"/>
      <c r="C139" s="356" t="s">
        <v>301</v>
      </c>
      <c r="D139" s="369" t="s">
        <v>143</v>
      </c>
      <c r="E139" s="364">
        <v>150</v>
      </c>
      <c r="F139" s="370">
        <v>2.0699999999999998</v>
      </c>
      <c r="G139" s="371">
        <f t="shared" si="14"/>
        <v>310.5</v>
      </c>
      <c r="H139" s="373"/>
      <c r="I139" s="364">
        <v>84313120</v>
      </c>
      <c r="J139" s="376">
        <f t="shared" si="1"/>
        <v>53571.6</v>
      </c>
      <c r="K139" s="365">
        <v>55000</v>
      </c>
      <c r="L139" s="377">
        <f t="shared" si="2"/>
        <v>8035740</v>
      </c>
      <c r="M139" s="380">
        <v>0</v>
      </c>
      <c r="N139" s="378">
        <f t="shared" si="15"/>
        <v>0</v>
      </c>
      <c r="O139" s="382">
        <f t="shared" si="16"/>
        <v>8035740</v>
      </c>
      <c r="P139" s="380">
        <v>0.08</v>
      </c>
      <c r="Q139" s="378">
        <f t="shared" si="17"/>
        <v>642859.20000000007</v>
      </c>
      <c r="R139" s="214">
        <v>160</v>
      </c>
      <c r="S139" s="214">
        <f t="shared" si="22"/>
        <v>1.940625</v>
      </c>
      <c r="T139" s="215">
        <f t="shared" si="23"/>
        <v>8035740</v>
      </c>
      <c r="U139" s="216">
        <v>0</v>
      </c>
      <c r="V139" s="213">
        <f t="shared" si="24"/>
        <v>0</v>
      </c>
      <c r="W139" s="341">
        <v>198</v>
      </c>
      <c r="X139" s="353">
        <f t="shared" si="21"/>
        <v>112.5</v>
      </c>
    </row>
    <row r="140" spans="1:24" s="217" customFormat="1" ht="49.5" customHeight="1" thickBot="1">
      <c r="A140" s="254">
        <v>122</v>
      </c>
      <c r="B140" s="400" t="s">
        <v>356</v>
      </c>
      <c r="C140" s="356" t="s">
        <v>302</v>
      </c>
      <c r="D140" s="369" t="s">
        <v>143</v>
      </c>
      <c r="E140" s="365">
        <v>10000</v>
      </c>
      <c r="F140" s="370">
        <v>7.4999999999999997E-2</v>
      </c>
      <c r="G140" s="371">
        <f t="shared" si="14"/>
        <v>750</v>
      </c>
      <c r="H140" s="373"/>
      <c r="I140" s="364">
        <v>67029090</v>
      </c>
      <c r="J140" s="376">
        <f t="shared" si="1"/>
        <v>1941</v>
      </c>
      <c r="K140" s="365">
        <v>2000</v>
      </c>
      <c r="L140" s="377">
        <f t="shared" si="2"/>
        <v>19410000</v>
      </c>
      <c r="M140" s="380">
        <v>0</v>
      </c>
      <c r="N140" s="378">
        <f t="shared" si="15"/>
        <v>0</v>
      </c>
      <c r="O140" s="382">
        <f t="shared" si="16"/>
        <v>19410000</v>
      </c>
      <c r="P140" s="380">
        <v>0.08</v>
      </c>
      <c r="Q140" s="378">
        <f t="shared" si="17"/>
        <v>1552800</v>
      </c>
      <c r="R140" s="214">
        <v>161</v>
      </c>
      <c r="S140" s="214">
        <f t="shared" si="22"/>
        <v>4.658385093167702</v>
      </c>
      <c r="T140" s="215">
        <f t="shared" si="23"/>
        <v>19410000</v>
      </c>
      <c r="U140" s="216">
        <v>0</v>
      </c>
      <c r="V140" s="213">
        <f t="shared" si="24"/>
        <v>0</v>
      </c>
      <c r="W140" s="341">
        <v>220.32</v>
      </c>
      <c r="X140" s="353">
        <f t="shared" si="21"/>
        <v>529.68000000000006</v>
      </c>
    </row>
    <row r="141" spans="1:24" s="217" customFormat="1" ht="45.75" thickBot="1">
      <c r="A141" s="254">
        <v>123</v>
      </c>
      <c r="B141" s="400" t="s">
        <v>357</v>
      </c>
      <c r="C141" s="356" t="s">
        <v>427</v>
      </c>
      <c r="D141" s="369" t="s">
        <v>80</v>
      </c>
      <c r="E141" s="364">
        <v>398</v>
      </c>
      <c r="F141" s="370">
        <v>0.8</v>
      </c>
      <c r="G141" s="371">
        <f t="shared" si="14"/>
        <v>318.40000000000003</v>
      </c>
      <c r="H141" s="373"/>
      <c r="I141" s="364">
        <v>48119093</v>
      </c>
      <c r="J141" s="376">
        <f t="shared" si="1"/>
        <v>20704</v>
      </c>
      <c r="K141" s="364" t="s">
        <v>182</v>
      </c>
      <c r="L141" s="377">
        <f t="shared" si="2"/>
        <v>8240192.0000000009</v>
      </c>
      <c r="M141" s="380">
        <v>0</v>
      </c>
      <c r="N141" s="378"/>
      <c r="O141" s="382">
        <f t="shared" si="16"/>
        <v>8240192.0000000009</v>
      </c>
      <c r="P141" s="380">
        <v>0.08</v>
      </c>
      <c r="Q141" s="378">
        <f t="shared" si="17"/>
        <v>659215.3600000001</v>
      </c>
      <c r="R141" s="214"/>
      <c r="S141" s="214"/>
      <c r="T141" s="215"/>
      <c r="U141" s="216"/>
      <c r="V141" s="213"/>
      <c r="W141" s="341">
        <v>221.32</v>
      </c>
      <c r="X141" s="353">
        <f t="shared" ref="X141:X142" si="25">G141-W141</f>
        <v>97.080000000000041</v>
      </c>
    </row>
    <row r="142" spans="1:24" s="217" customFormat="1" ht="45.75" thickBot="1">
      <c r="A142" s="254">
        <v>124</v>
      </c>
      <c r="B142" s="400" t="s">
        <v>358</v>
      </c>
      <c r="C142" s="356" t="s">
        <v>303</v>
      </c>
      <c r="D142" s="369" t="s">
        <v>143</v>
      </c>
      <c r="E142" s="364">
        <v>2</v>
      </c>
      <c r="F142" s="370">
        <v>1884.87</v>
      </c>
      <c r="G142" s="371">
        <f t="shared" si="14"/>
        <v>3769.74</v>
      </c>
      <c r="H142" s="374"/>
      <c r="I142" s="364">
        <v>84242029</v>
      </c>
      <c r="J142" s="376">
        <f t="shared" ref="J142" si="26">F142*$L$12</f>
        <v>48780435.599999994</v>
      </c>
      <c r="K142" s="365">
        <v>50000000</v>
      </c>
      <c r="L142" s="377">
        <f t="shared" ref="L142" si="27">G142*$L$12</f>
        <v>97560871.199999988</v>
      </c>
      <c r="M142" s="380">
        <v>0</v>
      </c>
      <c r="N142" s="379"/>
      <c r="O142" s="382">
        <f t="shared" si="16"/>
        <v>97560871.199999988</v>
      </c>
      <c r="P142" s="380">
        <v>0.08</v>
      </c>
      <c r="Q142" s="378">
        <f t="shared" si="17"/>
        <v>7804869.6959999995</v>
      </c>
      <c r="R142" s="214"/>
      <c r="S142" s="214"/>
      <c r="T142" s="215"/>
      <c r="U142" s="216"/>
      <c r="V142" s="213"/>
      <c r="W142" s="341">
        <v>222.32</v>
      </c>
      <c r="X142" s="353">
        <f t="shared" si="25"/>
        <v>3547.4199999999996</v>
      </c>
    </row>
    <row r="143" spans="1:24" s="108" customFormat="1" ht="16.5" customHeight="1">
      <c r="A143" s="360"/>
      <c r="B143" s="361"/>
      <c r="C143" s="403"/>
      <c r="D143" s="355"/>
      <c r="E143" s="363">
        <f>SUM(E19:E142)</f>
        <v>175191</v>
      </c>
      <c r="F143" s="372">
        <f>SUM(F19:F142)</f>
        <v>7504.1850000000049</v>
      </c>
      <c r="G143" s="130">
        <f>SUM(G19:G142)</f>
        <v>193171.09</v>
      </c>
      <c r="H143" s="109"/>
      <c r="I143" s="110"/>
      <c r="J143" s="130"/>
      <c r="K143" s="111"/>
      <c r="L143" s="129"/>
      <c r="M143" s="129">
        <f>SUM(M19:M141)</f>
        <v>0.64999999999999991</v>
      </c>
      <c r="N143" s="129">
        <f>SUM(N19:N140)</f>
        <v>33492343.199999999</v>
      </c>
      <c r="O143" s="129"/>
      <c r="P143" s="111"/>
      <c r="Q143" s="129">
        <f>SUM(Q19:Q142)</f>
        <v>403894108.19200021</v>
      </c>
      <c r="R143" s="183">
        <f>SUM(R19:R141)</f>
        <v>12726</v>
      </c>
      <c r="S143" s="183"/>
      <c r="T143" s="111"/>
      <c r="U143" s="190"/>
      <c r="V143" s="269">
        <f>SUM(V19:V141)</f>
        <v>46389413973.599998</v>
      </c>
    </row>
    <row r="144" spans="1:24" s="108" customFormat="1" ht="16.5" customHeight="1">
      <c r="A144" s="107"/>
      <c r="B144" s="354"/>
      <c r="C144" s="425" t="str">
        <f>Sheet1!B15</f>
        <v>Số tiền bằng chữ: Một trăm chín mươi ba nghìn một trăm bảy mươi mốt Đô la Mỹ và chín cent./.</v>
      </c>
      <c r="D144" s="426"/>
      <c r="E144" s="426"/>
      <c r="F144" s="426"/>
      <c r="G144" s="427"/>
      <c r="H144" s="112"/>
      <c r="I144" s="113"/>
      <c r="J144" s="187"/>
      <c r="K144" s="230"/>
      <c r="P144" s="285"/>
      <c r="R144" s="184"/>
      <c r="S144" s="184"/>
      <c r="U144" s="191"/>
    </row>
    <row r="145" spans="1:21" s="69" customFormat="1" ht="5.25" customHeight="1">
      <c r="A145" s="81"/>
      <c r="B145" s="218"/>
      <c r="C145" s="123"/>
      <c r="E145" s="228"/>
      <c r="F145" s="207"/>
      <c r="G145" s="82"/>
      <c r="H145" s="82"/>
      <c r="I145" s="83"/>
      <c r="J145" s="188"/>
      <c r="K145" s="230"/>
      <c r="P145" s="286"/>
      <c r="R145" s="185"/>
      <c r="S145" s="185"/>
      <c r="U145" s="192"/>
    </row>
    <row r="146" spans="1:21" s="69" customFormat="1" ht="23.1" customHeight="1">
      <c r="A146" s="81"/>
      <c r="B146" s="218"/>
      <c r="C146" s="424" t="s">
        <v>84</v>
      </c>
      <c r="D146" s="424"/>
      <c r="E146" s="424"/>
      <c r="F146" s="424"/>
      <c r="G146" s="424"/>
      <c r="H146" s="84" t="s">
        <v>57</v>
      </c>
      <c r="I146" s="85">
        <f>N143+Q143+V143</f>
        <v>46826800424.991997</v>
      </c>
      <c r="J146" s="85"/>
      <c r="K146" s="239"/>
      <c r="L146" s="86"/>
      <c r="M146" s="87"/>
      <c r="N146" s="88"/>
      <c r="O146" s="82"/>
      <c r="Q146" s="87"/>
      <c r="R146" s="185"/>
      <c r="S146" s="185"/>
      <c r="U146" s="192"/>
    </row>
    <row r="147" spans="1:21" s="69" customFormat="1" ht="39" customHeight="1">
      <c r="B147" s="219"/>
      <c r="C147" s="419" t="s">
        <v>85</v>
      </c>
      <c r="D147" s="419"/>
      <c r="E147" s="419"/>
      <c r="F147" s="419"/>
      <c r="G147" s="419"/>
      <c r="H147" s="421"/>
      <c r="I147" s="422"/>
      <c r="J147" s="422"/>
      <c r="K147" s="422"/>
      <c r="L147" s="89"/>
      <c r="R147" s="185"/>
      <c r="S147" s="185"/>
      <c r="U147" s="192"/>
    </row>
    <row r="148" spans="1:21" s="69" customFormat="1" ht="15" customHeight="1">
      <c r="B148" s="219"/>
      <c r="C148" s="419" t="s">
        <v>86</v>
      </c>
      <c r="D148" s="419"/>
      <c r="E148" s="419"/>
      <c r="F148" s="419"/>
      <c r="G148" s="419"/>
      <c r="H148" s="82"/>
      <c r="I148" s="89"/>
      <c r="J148" s="188"/>
      <c r="K148" s="240"/>
      <c r="L148" s="89"/>
      <c r="N148" s="90"/>
      <c r="Q148" s="90"/>
      <c r="R148" s="185"/>
      <c r="S148" s="185"/>
      <c r="U148" s="192"/>
    </row>
    <row r="149" spans="1:21" s="69" customFormat="1" ht="15" customHeight="1">
      <c r="B149" s="219"/>
      <c r="C149" s="124" t="s">
        <v>87</v>
      </c>
      <c r="E149" s="228"/>
      <c r="F149" s="207"/>
      <c r="G149" s="82"/>
      <c r="J149" s="188"/>
      <c r="K149" s="241"/>
      <c r="L149" s="91"/>
      <c r="N149" s="92"/>
      <c r="Q149" s="93"/>
      <c r="R149" s="185"/>
      <c r="S149" s="185"/>
      <c r="U149" s="192"/>
    </row>
    <row r="150" spans="1:21" s="69" customFormat="1" ht="15" customHeight="1">
      <c r="B150" s="219"/>
      <c r="C150" s="419" t="s">
        <v>136</v>
      </c>
      <c r="D150" s="419"/>
      <c r="E150" s="419"/>
      <c r="F150" s="419"/>
      <c r="G150" s="419"/>
      <c r="J150" s="188"/>
      <c r="K150" s="239"/>
      <c r="L150" s="89"/>
      <c r="N150" s="90"/>
      <c r="Q150" s="90"/>
      <c r="R150" s="185"/>
      <c r="S150" s="185"/>
      <c r="U150" s="192"/>
    </row>
    <row r="151" spans="1:21" s="69" customFormat="1" ht="15" customHeight="1">
      <c r="B151" s="219"/>
      <c r="C151" s="419" t="s">
        <v>88</v>
      </c>
      <c r="D151" s="419"/>
      <c r="E151" s="419"/>
      <c r="F151" s="419"/>
      <c r="G151" s="419"/>
      <c r="I151" s="87"/>
      <c r="J151" s="188"/>
      <c r="K151" s="230"/>
      <c r="N151" s="90"/>
      <c r="Q151" s="93"/>
      <c r="R151" s="185"/>
      <c r="S151" s="185"/>
      <c r="U151" s="192"/>
    </row>
    <row r="152" spans="1:21" s="69" customFormat="1" ht="15" customHeight="1">
      <c r="B152" s="219"/>
      <c r="C152" s="423" t="s">
        <v>137</v>
      </c>
      <c r="D152" s="423"/>
      <c r="E152" s="423"/>
      <c r="F152" s="423"/>
      <c r="G152" s="423"/>
      <c r="I152" s="87"/>
      <c r="J152" s="188"/>
      <c r="K152" s="230"/>
      <c r="N152" s="90"/>
      <c r="Q152" s="90"/>
      <c r="R152" s="185"/>
      <c r="S152" s="185"/>
      <c r="U152" s="192"/>
    </row>
    <row r="153" spans="1:21" s="69" customFormat="1" ht="15" customHeight="1">
      <c r="B153" s="219"/>
      <c r="C153" s="124" t="s">
        <v>89</v>
      </c>
      <c r="E153" s="228"/>
      <c r="F153" s="207"/>
      <c r="G153" s="82"/>
      <c r="J153" s="188"/>
      <c r="K153" s="230"/>
      <c r="N153" s="90"/>
      <c r="Q153" s="90"/>
      <c r="R153" s="185"/>
      <c r="S153" s="185"/>
      <c r="U153" s="192"/>
    </row>
    <row r="154" spans="1:21" s="69" customFormat="1" ht="15" customHeight="1">
      <c r="B154" s="219"/>
      <c r="C154" s="433" t="s">
        <v>138</v>
      </c>
      <c r="D154" s="433"/>
      <c r="E154" s="433"/>
      <c r="F154" s="433"/>
      <c r="G154" s="433"/>
      <c r="H154" s="249"/>
      <c r="I154" s="83"/>
      <c r="J154" s="188"/>
      <c r="K154" s="230"/>
      <c r="N154" s="90"/>
      <c r="Q154" s="90"/>
      <c r="R154" s="185"/>
      <c r="S154" s="185"/>
      <c r="U154" s="192"/>
    </row>
    <row r="155" spans="1:21" s="69" customFormat="1" ht="15" customHeight="1">
      <c r="B155" s="219"/>
      <c r="C155" s="419" t="s">
        <v>139</v>
      </c>
      <c r="D155" s="419"/>
      <c r="E155" s="419"/>
      <c r="F155" s="419"/>
      <c r="G155" s="419"/>
      <c r="H155" s="94"/>
      <c r="I155" s="83"/>
      <c r="J155" s="188"/>
      <c r="K155" s="230"/>
      <c r="N155" s="90"/>
      <c r="Q155" s="90"/>
      <c r="R155" s="185"/>
      <c r="S155" s="185"/>
      <c r="U155" s="192"/>
    </row>
    <row r="156" spans="1:21" s="69" customFormat="1" ht="15" customHeight="1">
      <c r="B156" s="219"/>
      <c r="C156" s="124" t="s">
        <v>90</v>
      </c>
      <c r="E156" s="228"/>
      <c r="F156" s="207"/>
      <c r="G156" s="82"/>
      <c r="H156" s="82"/>
      <c r="I156" s="83"/>
      <c r="J156" s="188"/>
      <c r="K156" s="230"/>
      <c r="N156" s="90"/>
      <c r="Q156" s="90"/>
      <c r="R156" s="185"/>
      <c r="S156" s="185"/>
      <c r="U156" s="192"/>
    </row>
    <row r="157" spans="1:21" s="69" customFormat="1" ht="15" customHeight="1">
      <c r="B157" s="219"/>
      <c r="C157" s="125" t="s">
        <v>91</v>
      </c>
      <c r="E157" s="228"/>
      <c r="F157" s="207"/>
      <c r="G157" s="82"/>
      <c r="H157" s="82"/>
      <c r="I157" s="83"/>
      <c r="J157" s="188"/>
      <c r="K157" s="230"/>
      <c r="N157" s="90"/>
      <c r="Q157" s="90"/>
      <c r="R157" s="185"/>
      <c r="S157" s="185"/>
      <c r="U157" s="192"/>
    </row>
    <row r="158" spans="1:21" s="69" customFormat="1" ht="15" customHeight="1">
      <c r="B158" s="219"/>
      <c r="C158" s="125" t="s">
        <v>98</v>
      </c>
      <c r="E158" s="228"/>
      <c r="F158" s="207"/>
      <c r="G158" s="82"/>
      <c r="H158" s="82"/>
      <c r="I158" s="83"/>
      <c r="J158" s="188"/>
      <c r="K158" s="230"/>
      <c r="N158" s="90"/>
      <c r="Q158" s="90"/>
      <c r="R158" s="185"/>
      <c r="S158" s="185"/>
      <c r="U158" s="192"/>
    </row>
    <row r="159" spans="1:21" s="69" customFormat="1" ht="15" customHeight="1">
      <c r="B159" s="219"/>
      <c r="C159" s="430" t="s">
        <v>92</v>
      </c>
      <c r="D159" s="430"/>
      <c r="E159" s="430"/>
      <c r="F159" s="430"/>
      <c r="G159" s="430"/>
      <c r="H159" s="248"/>
      <c r="I159" s="83"/>
      <c r="J159" s="188"/>
      <c r="K159" s="230"/>
      <c r="N159" s="90"/>
      <c r="Q159" s="90"/>
      <c r="R159" s="185"/>
      <c r="S159" s="185"/>
      <c r="U159" s="192"/>
    </row>
    <row r="160" spans="1:21" s="69" customFormat="1" ht="15" customHeight="1">
      <c r="B160" s="219"/>
      <c r="C160" s="429" t="s">
        <v>93</v>
      </c>
      <c r="D160" s="429"/>
      <c r="E160" s="429"/>
      <c r="F160" s="429"/>
      <c r="G160" s="429"/>
      <c r="H160" s="82"/>
      <c r="I160" s="83"/>
      <c r="J160" s="188"/>
      <c r="K160" s="230"/>
      <c r="N160" s="90"/>
      <c r="Q160" s="90"/>
      <c r="R160" s="185"/>
      <c r="S160" s="185"/>
      <c r="U160" s="192"/>
    </row>
    <row r="161" spans="2:21" s="69" customFormat="1" ht="15" customHeight="1">
      <c r="B161" s="219"/>
      <c r="C161" s="124" t="s">
        <v>94</v>
      </c>
      <c r="E161" s="228"/>
      <c r="F161" s="207"/>
      <c r="G161" s="82"/>
      <c r="H161" s="82"/>
      <c r="I161" s="83"/>
      <c r="J161" s="188"/>
      <c r="K161" s="230"/>
      <c r="N161" s="90"/>
      <c r="Q161" s="90"/>
      <c r="R161" s="185"/>
      <c r="S161" s="185"/>
      <c r="U161" s="192"/>
    </row>
    <row r="162" spans="2:21" s="69" customFormat="1" ht="18.75" customHeight="1">
      <c r="B162" s="219"/>
      <c r="C162" s="429" t="s">
        <v>33</v>
      </c>
      <c r="D162" s="429"/>
      <c r="E162" s="429"/>
      <c r="F162" s="429"/>
      <c r="G162" s="429"/>
      <c r="H162" s="248"/>
      <c r="I162" s="83"/>
      <c r="J162" s="188"/>
      <c r="K162" s="230"/>
      <c r="N162" s="90"/>
      <c r="Q162" s="90"/>
      <c r="R162" s="185"/>
      <c r="S162" s="185"/>
      <c r="U162" s="192"/>
    </row>
    <row r="163" spans="2:21" s="69" customFormat="1" ht="25.5" customHeight="1">
      <c r="B163" s="219"/>
      <c r="C163" s="419" t="s">
        <v>47</v>
      </c>
      <c r="D163" s="419"/>
      <c r="E163" s="419"/>
      <c r="F163" s="419"/>
      <c r="G163" s="419"/>
      <c r="H163" s="247"/>
      <c r="I163" s="83"/>
      <c r="J163" s="188"/>
      <c r="K163" s="230"/>
      <c r="N163" s="90"/>
      <c r="Q163" s="90"/>
      <c r="R163" s="185"/>
      <c r="S163" s="185"/>
      <c r="U163" s="192"/>
    </row>
    <row r="164" spans="2:21" s="69" customFormat="1" ht="25.5" customHeight="1">
      <c r="B164" s="219"/>
      <c r="C164" s="429" t="s">
        <v>34</v>
      </c>
      <c r="D164" s="429"/>
      <c r="E164" s="429"/>
      <c r="F164" s="429"/>
      <c r="G164" s="429"/>
      <c r="H164" s="248"/>
      <c r="I164" s="83"/>
      <c r="J164" s="188"/>
      <c r="K164" s="230"/>
      <c r="N164" s="90"/>
      <c r="Q164" s="90"/>
      <c r="R164" s="185"/>
      <c r="S164" s="185"/>
      <c r="U164" s="192"/>
    </row>
    <row r="165" spans="2:21" s="69" customFormat="1" ht="15.75" customHeight="1">
      <c r="B165" s="219"/>
      <c r="C165" s="429" t="s">
        <v>35</v>
      </c>
      <c r="D165" s="429"/>
      <c r="E165" s="429"/>
      <c r="F165" s="429"/>
      <c r="G165" s="429"/>
      <c r="H165" s="248"/>
      <c r="I165" s="83"/>
      <c r="J165" s="188"/>
      <c r="K165" s="230"/>
      <c r="N165" s="90"/>
      <c r="Q165" s="90"/>
      <c r="R165" s="185"/>
      <c r="S165" s="185"/>
      <c r="U165" s="192"/>
    </row>
    <row r="166" spans="2:21" ht="3.75" customHeight="1"/>
    <row r="167" spans="2:21" ht="15.75">
      <c r="C167" s="428" t="s">
        <v>81</v>
      </c>
      <c r="D167" s="428"/>
      <c r="E167" s="428"/>
      <c r="F167" s="428"/>
      <c r="G167" s="428"/>
      <c r="H167" s="98"/>
    </row>
  </sheetData>
  <autoFilter ref="A18:Q144" xr:uid="{7684EA12-4C04-434A-A425-1273ED94B8FD}"/>
  <mergeCells count="48">
    <mergeCell ref="B87:B88"/>
    <mergeCell ref="B89:B90"/>
    <mergeCell ref="B95:B97"/>
    <mergeCell ref="B102:B107"/>
    <mergeCell ref="B115:B117"/>
    <mergeCell ref="B111:B113"/>
    <mergeCell ref="B71:B72"/>
    <mergeCell ref="B73:B74"/>
    <mergeCell ref="B76:B78"/>
    <mergeCell ref="B81:B82"/>
    <mergeCell ref="B83:B86"/>
    <mergeCell ref="B45:B47"/>
    <mergeCell ref="B48:B49"/>
    <mergeCell ref="B51:B55"/>
    <mergeCell ref="B58:B60"/>
    <mergeCell ref="B63:B69"/>
    <mergeCell ref="B20:B22"/>
    <mergeCell ref="B23:B29"/>
    <mergeCell ref="B30:B37"/>
    <mergeCell ref="B38:B40"/>
    <mergeCell ref="B42:B43"/>
    <mergeCell ref="B119:B133"/>
    <mergeCell ref="B134:B135"/>
    <mergeCell ref="B138:B139"/>
    <mergeCell ref="C164:G164"/>
    <mergeCell ref="C160:G160"/>
    <mergeCell ref="C155:G155"/>
    <mergeCell ref="C154:G154"/>
    <mergeCell ref="C150:G150"/>
    <mergeCell ref="C167:G167"/>
    <mergeCell ref="C165:G165"/>
    <mergeCell ref="C162:G162"/>
    <mergeCell ref="C163:G163"/>
    <mergeCell ref="C159:G159"/>
    <mergeCell ref="H147:K147"/>
    <mergeCell ref="C152:G152"/>
    <mergeCell ref="C146:G146"/>
    <mergeCell ref="C144:G144"/>
    <mergeCell ref="C151:G151"/>
    <mergeCell ref="C147:G147"/>
    <mergeCell ref="C148:G148"/>
    <mergeCell ref="A1:G1"/>
    <mergeCell ref="A2:G2"/>
    <mergeCell ref="C15:G15"/>
    <mergeCell ref="C4:G4"/>
    <mergeCell ref="C6:G6"/>
    <mergeCell ref="C11:G11"/>
    <mergeCell ref="C7:G7"/>
  </mergeCells>
  <phoneticPr fontId="9" type="noConversion"/>
  <conditionalFormatting sqref="H1:H148">
    <cfRule type="containsText" dxfId="2" priority="1" stopIfTrue="1" operator="containsText" text="B01">
      <formula>NOT(ISERROR(SEARCH("B01",H1)))</formula>
    </cfRule>
  </conditionalFormatting>
  <conditionalFormatting sqref="K143:K145 K151:K65537">
    <cfRule type="cellIs" dxfId="1" priority="1358" stopIfTrue="1" operator="notEqual">
      <formula>0</formula>
    </cfRule>
  </conditionalFormatting>
  <conditionalFormatting sqref="K146 K148:K150 H154:H65537">
    <cfRule type="containsText" dxfId="0" priority="1359" stopIfTrue="1" operator="containsText" text="B01">
      <formula>NOT(ISERROR(SEARCH("B01",H146)))</formula>
    </cfRule>
  </conditionalFormatting>
  <printOptions horizontalCentered="1"/>
  <pageMargins left="0.2" right="0.2" top="0.62" bottom="0.28000000000000003" header="0.16" footer="0.24"/>
  <pageSetup paperSize="9" orientation="portrait"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984CE-2A7B-4853-BFFA-D196E76200D1}">
  <sheetPr>
    <tabColor indexed="13"/>
  </sheetPr>
  <dimension ref="A1:K140"/>
  <sheetViews>
    <sheetView view="pageBreakPreview" topLeftCell="A26" zoomScale="115" zoomScaleNormal="100" zoomScaleSheetLayoutView="115" workbookViewId="0">
      <selection activeCell="F134" sqref="F134"/>
    </sheetView>
  </sheetViews>
  <sheetFormatPr defaultRowHeight="15.75"/>
  <cols>
    <col min="1" max="1" width="4.7109375" style="8" customWidth="1"/>
    <col min="2" max="2" width="50" style="12" customWidth="1"/>
    <col min="3" max="3" width="8.28515625" style="8" customWidth="1"/>
    <col min="4" max="4" width="9.7109375" style="8" customWidth="1"/>
    <col min="5" max="5" width="9.28515625" style="8" customWidth="1"/>
    <col min="6" max="6" width="18" style="8" customWidth="1"/>
    <col min="7" max="7" width="0" style="8" hidden="1" customWidth="1"/>
    <col min="8" max="8" width="9.140625" style="8"/>
    <col min="9" max="9" width="11.85546875" style="8" bestFit="1" customWidth="1"/>
    <col min="10" max="16384" width="9.140625" style="8"/>
  </cols>
  <sheetData>
    <row r="1" spans="1:11" s="225" customFormat="1" ht="17.45" customHeight="1">
      <c r="A1" s="410" t="s">
        <v>147</v>
      </c>
      <c r="B1" s="410"/>
      <c r="C1" s="410"/>
      <c r="D1" s="410"/>
      <c r="E1" s="410"/>
      <c r="F1" s="410"/>
      <c r="G1" s="410"/>
    </row>
    <row r="2" spans="1:11" s="225" customFormat="1" ht="36.4" customHeight="1">
      <c r="A2" s="408" t="s">
        <v>148</v>
      </c>
      <c r="B2" s="408"/>
      <c r="C2" s="408"/>
      <c r="D2" s="408"/>
      <c r="E2" s="408"/>
      <c r="F2" s="408"/>
      <c r="G2" s="408"/>
      <c r="H2" s="226"/>
      <c r="I2" s="226"/>
      <c r="J2" s="226"/>
      <c r="K2" s="226"/>
    </row>
    <row r="3" spans="1:11" s="225" customFormat="1" ht="42" customHeight="1">
      <c r="A3" s="409" t="s">
        <v>156</v>
      </c>
      <c r="B3" s="409"/>
      <c r="C3" s="409"/>
      <c r="D3" s="409"/>
      <c r="E3" s="409"/>
      <c r="F3" s="409"/>
      <c r="H3" s="405" t="s">
        <v>64</v>
      </c>
      <c r="I3" s="405"/>
      <c r="J3" s="405"/>
    </row>
    <row r="4" spans="1:11" ht="16.5" customHeight="1">
      <c r="A4" s="114"/>
      <c r="B4" s="195"/>
      <c r="C4" s="115"/>
      <c r="D4" s="116" t="s">
        <v>157</v>
      </c>
      <c r="E4" s="413" t="str">
        <f>I4&amp;"GF-TH/26"</f>
        <v>0902
GF-TH/26</v>
      </c>
      <c r="F4" s="413"/>
      <c r="G4" s="117"/>
      <c r="H4" s="204" t="s">
        <v>66</v>
      </c>
      <c r="I4" s="118" t="str">
        <f>'HỢP ĐỒNG'!$I$1</f>
        <v xml:space="preserve">0902
</v>
      </c>
      <c r="J4" s="119" t="str">
        <f>I4&amp;"GF-TH/26"</f>
        <v>0902
GF-TH/26</v>
      </c>
    </row>
    <row r="5" spans="1:11" ht="16.5" customHeight="1">
      <c r="A5" s="114"/>
      <c r="B5" s="195"/>
      <c r="C5" s="115"/>
      <c r="D5" s="116" t="s">
        <v>158</v>
      </c>
      <c r="E5" s="412">
        <f>'HỢP ĐỒNG'!I2+1</f>
        <v>46271</v>
      </c>
      <c r="F5" s="412"/>
      <c r="G5" s="117"/>
      <c r="H5" s="204" t="s">
        <v>68</v>
      </c>
      <c r="I5" s="120">
        <f>'HỢP ĐỒNG'!I2</f>
        <v>46270</v>
      </c>
      <c r="J5" s="119"/>
    </row>
    <row r="6" spans="1:11" ht="16.5" customHeight="1">
      <c r="A6" s="10" t="s">
        <v>175</v>
      </c>
      <c r="G6" s="99"/>
      <c r="H6" s="99"/>
    </row>
    <row r="7" spans="1:11" s="148" customFormat="1" ht="16.5" customHeight="1">
      <c r="A7" s="8" t="s">
        <v>176</v>
      </c>
      <c r="B7" s="196"/>
      <c r="G7" s="149"/>
      <c r="H7" s="150"/>
    </row>
    <row r="8" spans="1:11" ht="9" customHeight="1">
      <c r="A8" s="414"/>
      <c r="B8" s="414"/>
      <c r="C8" s="414"/>
      <c r="D8" s="414"/>
      <c r="E8" s="414"/>
      <c r="F8" s="414"/>
    </row>
    <row r="9" spans="1:11" s="68" customFormat="1" ht="37.5" customHeight="1">
      <c r="A9" s="170" t="s">
        <v>163</v>
      </c>
      <c r="B9" s="171" t="s">
        <v>164</v>
      </c>
      <c r="C9" s="170" t="s">
        <v>51</v>
      </c>
      <c r="D9" s="171" t="s">
        <v>165</v>
      </c>
      <c r="E9" s="172" t="s">
        <v>166</v>
      </c>
      <c r="F9" s="172" t="s">
        <v>167</v>
      </c>
      <c r="G9" s="176" t="s">
        <v>124</v>
      </c>
    </row>
    <row r="10" spans="1:11" s="68" customFormat="1" ht="35.25" customHeight="1">
      <c r="A10" s="173">
        <f>'HỢP ĐỒNG'!A19</f>
        <v>1</v>
      </c>
      <c r="B10" s="174" t="str">
        <f>'INVOICE lam CO'!B15</f>
        <v>Dusting cloth</v>
      </c>
      <c r="C10" s="175" t="str">
        <f>'INVOICE lam CO'!D15</f>
        <v>PCE</v>
      </c>
      <c r="D10" s="284">
        <f>'INVOICE lam CO'!E15</f>
        <v>20000</v>
      </c>
      <c r="E10" s="287">
        <f>'HỢP ĐỒNG'!F19</f>
        <v>9.4E-2</v>
      </c>
      <c r="F10" s="287">
        <f>'HỢP ĐỒNG'!G19</f>
        <v>1880</v>
      </c>
      <c r="G10" s="203">
        <f>'HỢP ĐỒNG'!I19</f>
        <v>63071090</v>
      </c>
      <c r="H10" s="205">
        <f>'HỢP ĐỒNG'!I19</f>
        <v>63071090</v>
      </c>
    </row>
    <row r="11" spans="1:11" s="68" customFormat="1" ht="35.25" customHeight="1">
      <c r="A11" s="173">
        <f>'HỢP ĐỒNG'!A20</f>
        <v>2</v>
      </c>
      <c r="B11" s="174" t="str">
        <f>'INVOICE lam CO'!B16</f>
        <v>Tea set</v>
      </c>
      <c r="C11" s="175" t="str">
        <f>'INVOICE lam CO'!D16</f>
        <v>SET</v>
      </c>
      <c r="D11" s="284">
        <f>'INVOICE lam CO'!E16</f>
        <v>20</v>
      </c>
      <c r="E11" s="287">
        <f>'HỢP ĐỒNG'!F20</f>
        <v>5.16</v>
      </c>
      <c r="F11" s="287">
        <f>'HỢP ĐỒNG'!G20</f>
        <v>103.2</v>
      </c>
      <c r="G11" s="203">
        <f>'HỢP ĐỒNG'!I20</f>
        <v>69120000</v>
      </c>
      <c r="H11" s="205">
        <f>'HỢP ĐỒNG'!I20</f>
        <v>69120000</v>
      </c>
    </row>
    <row r="12" spans="1:11" s="68" customFormat="1" ht="35.25" customHeight="1">
      <c r="A12" s="173">
        <f>'HỢP ĐỒNG'!A21</f>
        <v>3</v>
      </c>
      <c r="B12" s="174" t="str">
        <f>'INVOICE lam CO'!B17</f>
        <v>Tea set</v>
      </c>
      <c r="C12" s="175" t="str">
        <f>'INVOICE lam CO'!D17</f>
        <v>SET</v>
      </c>
      <c r="D12" s="284">
        <f>'INVOICE lam CO'!E17</f>
        <v>20</v>
      </c>
      <c r="E12" s="287">
        <f>'HỢP ĐỒNG'!F21</f>
        <v>4.09</v>
      </c>
      <c r="F12" s="287">
        <f>'HỢP ĐỒNG'!G21</f>
        <v>81.8</v>
      </c>
      <c r="G12" s="203">
        <f>'HỢP ĐỒNG'!I21</f>
        <v>69120000</v>
      </c>
      <c r="H12" s="205">
        <f>'HỢP ĐỒNG'!I21</f>
        <v>69120000</v>
      </c>
    </row>
    <row r="13" spans="1:11" s="68" customFormat="1" ht="35.25" customHeight="1">
      <c r="A13" s="173">
        <f>'HỢP ĐỒNG'!A22</f>
        <v>4</v>
      </c>
      <c r="B13" s="174" t="str">
        <f>'INVOICE lam CO'!B18</f>
        <v>Tea set</v>
      </c>
      <c r="C13" s="175" t="str">
        <f>'INVOICE lam CO'!D18</f>
        <v>SET</v>
      </c>
      <c r="D13" s="284">
        <f>'INVOICE lam CO'!E18</f>
        <v>50</v>
      </c>
      <c r="E13" s="287">
        <f>'HỢP ĐỒNG'!F22</f>
        <v>5.69</v>
      </c>
      <c r="F13" s="287">
        <f>'HỢP ĐỒNG'!G22</f>
        <v>284.5</v>
      </c>
      <c r="G13" s="203">
        <f>'HỢP ĐỒNG'!I22</f>
        <v>69120000</v>
      </c>
      <c r="H13" s="205">
        <f>'HỢP ĐỒNG'!I22</f>
        <v>69120000</v>
      </c>
    </row>
    <row r="14" spans="1:11" s="68" customFormat="1" ht="35.25" customHeight="1">
      <c r="A14" s="173">
        <f>'HỢP ĐỒNG'!A23</f>
        <v>5</v>
      </c>
      <c r="B14" s="174" t="str">
        <f>'INVOICE lam CO'!B19</f>
        <v>Teapot</v>
      </c>
      <c r="C14" s="175" t="str">
        <f>'INVOICE lam CO'!D19</f>
        <v>PCE</v>
      </c>
      <c r="D14" s="284">
        <f>'INVOICE lam CO'!E19</f>
        <v>10</v>
      </c>
      <c r="E14" s="287">
        <f>'HỢP ĐỒNG'!F23</f>
        <v>13.6</v>
      </c>
      <c r="F14" s="287">
        <f>'HỢP ĐỒNG'!G23</f>
        <v>136</v>
      </c>
      <c r="G14" s="203">
        <f>'HỢP ĐỒNG'!I23</f>
        <v>69120000</v>
      </c>
      <c r="H14" s="205">
        <f>'HỢP ĐỒNG'!I23</f>
        <v>69120000</v>
      </c>
    </row>
    <row r="15" spans="1:11" s="68" customFormat="1" ht="35.25" customHeight="1">
      <c r="A15" s="173">
        <f>'HỢP ĐỒNG'!A24</f>
        <v>6</v>
      </c>
      <c r="B15" s="174" t="str">
        <f>'INVOICE lam CO'!B20</f>
        <v>Teapot</v>
      </c>
      <c r="C15" s="175" t="str">
        <f>'INVOICE lam CO'!D20</f>
        <v>PCE</v>
      </c>
      <c r="D15" s="284">
        <f>'INVOICE lam CO'!E20</f>
        <v>15</v>
      </c>
      <c r="E15" s="287">
        <f>'HỢP ĐỒNG'!F24</f>
        <v>10.46</v>
      </c>
      <c r="F15" s="287">
        <f>'HỢP ĐỒNG'!G24</f>
        <v>156.9</v>
      </c>
      <c r="G15" s="203">
        <f>'HỢP ĐỒNG'!I24</f>
        <v>69120000</v>
      </c>
      <c r="H15" s="205">
        <f>'HỢP ĐỒNG'!I24</f>
        <v>69120000</v>
      </c>
    </row>
    <row r="16" spans="1:11" s="68" customFormat="1" ht="35.25" customHeight="1">
      <c r="A16" s="173">
        <f>'HỢP ĐỒNG'!A25</f>
        <v>7</v>
      </c>
      <c r="B16" s="174" t="str">
        <f>'INVOICE lam CO'!B21</f>
        <v>Tea cup</v>
      </c>
      <c r="C16" s="175" t="str">
        <f>'INVOICE lam CO'!D21</f>
        <v>PCE</v>
      </c>
      <c r="D16" s="284">
        <f>'INVOICE lam CO'!E21</f>
        <v>20</v>
      </c>
      <c r="E16" s="287">
        <f>'HỢP ĐỒNG'!F25</f>
        <v>4.49</v>
      </c>
      <c r="F16" s="287">
        <f>'HỢP ĐỒNG'!G25</f>
        <v>89.800000000000011</v>
      </c>
      <c r="G16" s="203">
        <f>'HỢP ĐỒNG'!I25</f>
        <v>69120000</v>
      </c>
      <c r="H16" s="205">
        <f>'HỢP ĐỒNG'!I25</f>
        <v>69120000</v>
      </c>
    </row>
    <row r="17" spans="1:8" s="68" customFormat="1" ht="35.25" customHeight="1">
      <c r="A17" s="173">
        <f>'HỢP ĐỒNG'!A26</f>
        <v>8</v>
      </c>
      <c r="B17" s="174" t="str">
        <f>'INVOICE lam CO'!B22</f>
        <v>Teapot</v>
      </c>
      <c r="C17" s="175" t="str">
        <f>'INVOICE lam CO'!D22</f>
        <v>PCE</v>
      </c>
      <c r="D17" s="284">
        <f>'INVOICE lam CO'!E22</f>
        <v>10</v>
      </c>
      <c r="E17" s="287">
        <f>'HỢP ĐỒNG'!F26</f>
        <v>16.739999999999998</v>
      </c>
      <c r="F17" s="287">
        <f>'HỢP ĐỒNG'!G26</f>
        <v>167.39999999999998</v>
      </c>
      <c r="G17" s="203">
        <f>'HỢP ĐỒNG'!I26</f>
        <v>69120000</v>
      </c>
      <c r="H17" s="205">
        <f>'HỢP ĐỒNG'!I26</f>
        <v>69120000</v>
      </c>
    </row>
    <row r="18" spans="1:8" s="68" customFormat="1" ht="35.25" customHeight="1">
      <c r="A18" s="173">
        <f>'HỢP ĐỒNG'!A27</f>
        <v>9</v>
      </c>
      <c r="B18" s="174" t="str">
        <f>'INVOICE lam CO'!B23</f>
        <v>Teapot</v>
      </c>
      <c r="C18" s="175" t="str">
        <f>'INVOICE lam CO'!D23</f>
        <v>PCE</v>
      </c>
      <c r="D18" s="284">
        <f>'INVOICE lam CO'!E23</f>
        <v>5</v>
      </c>
      <c r="E18" s="287">
        <f>'HỢP ĐỒNG'!F27</f>
        <v>15.69</v>
      </c>
      <c r="F18" s="287">
        <f>'HỢP ĐỒNG'!G27</f>
        <v>78.45</v>
      </c>
      <c r="G18" s="203">
        <f>'HỢP ĐỒNG'!I27</f>
        <v>69120000</v>
      </c>
      <c r="H18" s="205">
        <f>'HỢP ĐỒNG'!I27</f>
        <v>69120000</v>
      </c>
    </row>
    <row r="19" spans="1:8" s="68" customFormat="1" ht="35.25" customHeight="1">
      <c r="A19" s="173">
        <f>'HỢP ĐỒNG'!A28</f>
        <v>10</v>
      </c>
      <c r="B19" s="174" t="str">
        <f>'INVOICE lam CO'!B24</f>
        <v>Teapot</v>
      </c>
      <c r="C19" s="175" t="str">
        <f>'INVOICE lam CO'!D24</f>
        <v>PCE</v>
      </c>
      <c r="D19" s="284">
        <f>'INVOICE lam CO'!E24</f>
        <v>10</v>
      </c>
      <c r="E19" s="331">
        <f>'HỢP ĐỒNG'!F28</f>
        <v>17.09</v>
      </c>
      <c r="F19" s="287">
        <f>'HỢP ĐỒNG'!G28</f>
        <v>170.9</v>
      </c>
      <c r="G19" s="203">
        <f>'HỢP ĐỒNG'!I28</f>
        <v>69120000</v>
      </c>
      <c r="H19" s="205">
        <f>'HỢP ĐỒNG'!I28</f>
        <v>69120000</v>
      </c>
    </row>
    <row r="20" spans="1:8" s="68" customFormat="1" ht="35.25" customHeight="1">
      <c r="A20" s="173">
        <f>'HỢP ĐỒNG'!A29</f>
        <v>11</v>
      </c>
      <c r="B20" s="174" t="str">
        <f>'INVOICE lam CO'!B25</f>
        <v>Teapot</v>
      </c>
      <c r="C20" s="175" t="str">
        <f>'INVOICE lam CO'!D25</f>
        <v>PCE</v>
      </c>
      <c r="D20" s="284">
        <f>'INVOICE lam CO'!E25</f>
        <v>10</v>
      </c>
      <c r="E20" s="287">
        <f>'HỢP ĐỒNG'!F29</f>
        <v>14.47</v>
      </c>
      <c r="F20" s="287">
        <f>'HỢP ĐỒNG'!G29</f>
        <v>144.70000000000002</v>
      </c>
      <c r="G20" s="203">
        <f>'HỢP ĐỒNG'!I29</f>
        <v>69120000</v>
      </c>
      <c r="H20" s="205">
        <f>'HỢP ĐỒNG'!I29</f>
        <v>69120000</v>
      </c>
    </row>
    <row r="21" spans="1:8" s="68" customFormat="1" ht="35.25" customHeight="1">
      <c r="A21" s="173">
        <f>'HỢP ĐỒNG'!A30</f>
        <v>12</v>
      </c>
      <c r="B21" s="174" t="str">
        <f>'INVOICE lam CO'!B26</f>
        <v>Teapot</v>
      </c>
      <c r="C21" s="175" t="str">
        <f>'INVOICE lam CO'!D26</f>
        <v>PCE</v>
      </c>
      <c r="D21" s="284">
        <f>'INVOICE lam CO'!E26</f>
        <v>3</v>
      </c>
      <c r="E21" s="287">
        <f>'HỢP ĐỒNG'!F30</f>
        <v>20.46</v>
      </c>
      <c r="F21" s="287">
        <f>'HỢP ĐỒNG'!G30</f>
        <v>61.38</v>
      </c>
      <c r="G21" s="203">
        <f>'HỢP ĐỒNG'!I30</f>
        <v>69120000</v>
      </c>
      <c r="H21" s="205">
        <f>'HỢP ĐỒNG'!I30</f>
        <v>69120000</v>
      </c>
    </row>
    <row r="22" spans="1:8" s="68" customFormat="1" ht="35.25" customHeight="1">
      <c r="A22" s="173">
        <f>'HỢP ĐỒNG'!A31</f>
        <v>13</v>
      </c>
      <c r="B22" s="174" t="str">
        <f>'INVOICE lam CO'!B27</f>
        <v>Teapot</v>
      </c>
      <c r="C22" s="175" t="str">
        <f>'INVOICE lam CO'!D27</f>
        <v>PCE</v>
      </c>
      <c r="D22" s="284">
        <f>'INVOICE lam CO'!E27</f>
        <v>3</v>
      </c>
      <c r="E22" s="287">
        <f>'HỢP ĐỒNG'!F31</f>
        <v>28.47</v>
      </c>
      <c r="F22" s="287">
        <f>'HỢP ĐỒNG'!G31</f>
        <v>85.41</v>
      </c>
      <c r="G22" s="203">
        <f>'HỢP ĐỒNG'!I31</f>
        <v>69120000</v>
      </c>
      <c r="H22" s="205">
        <f>'HỢP ĐỒNG'!I31</f>
        <v>69120000</v>
      </c>
    </row>
    <row r="23" spans="1:8" s="68" customFormat="1" ht="35.25" customHeight="1">
      <c r="A23" s="173">
        <f>'HỢP ĐỒNG'!A32</f>
        <v>14</v>
      </c>
      <c r="B23" s="174" t="str">
        <f>'INVOICE lam CO'!B28</f>
        <v>Teapot</v>
      </c>
      <c r="C23" s="175" t="str">
        <f>'INVOICE lam CO'!D28</f>
        <v>PCE</v>
      </c>
      <c r="D23" s="284">
        <f>'INVOICE lam CO'!E28</f>
        <v>5</v>
      </c>
      <c r="E23" s="287">
        <f>'HỢP ĐỒNG'!F32</f>
        <v>39.15</v>
      </c>
      <c r="F23" s="287">
        <f>'HỢP ĐỒNG'!G32</f>
        <v>195.75</v>
      </c>
      <c r="G23" s="203">
        <f>'HỢP ĐỒNG'!I32</f>
        <v>69120000</v>
      </c>
      <c r="H23" s="205">
        <f>'HỢP ĐỒNG'!I32</f>
        <v>69120000</v>
      </c>
    </row>
    <row r="24" spans="1:8" s="68" customFormat="1" ht="35.25" customHeight="1">
      <c r="A24" s="173">
        <f>'HỢP ĐỒNG'!A33</f>
        <v>15</v>
      </c>
      <c r="B24" s="174" t="str">
        <f>'INVOICE lam CO'!B29</f>
        <v>Teapot tray</v>
      </c>
      <c r="C24" s="175" t="str">
        <f>'INVOICE lam CO'!D29</f>
        <v>PCE</v>
      </c>
      <c r="D24" s="284">
        <f>'INVOICE lam CO'!E29</f>
        <v>5</v>
      </c>
      <c r="E24" s="287">
        <f>'HỢP ĐỒNG'!F33</f>
        <v>26.69</v>
      </c>
      <c r="F24" s="287">
        <f>'HỢP ĐỒNG'!G33</f>
        <v>133.45000000000002</v>
      </c>
      <c r="G24" s="203">
        <f>'HỢP ĐỒNG'!I33</f>
        <v>69120000</v>
      </c>
      <c r="H24" s="205">
        <f>'HỢP ĐỒNG'!I33</f>
        <v>69120000</v>
      </c>
    </row>
    <row r="25" spans="1:8" s="68" customFormat="1" ht="35.25" customHeight="1">
      <c r="A25" s="173">
        <f>'HỢP ĐỒNG'!A34</f>
        <v>16</v>
      </c>
      <c r="B25" s="174" t="str">
        <f>'INVOICE lam CO'!B30</f>
        <v>Tea rinse bowl</v>
      </c>
      <c r="C25" s="175" t="str">
        <f>'INVOICE lam CO'!D30</f>
        <v>PCE</v>
      </c>
      <c r="D25" s="284">
        <f>'INVOICE lam CO'!E30</f>
        <v>5</v>
      </c>
      <c r="E25" s="287">
        <f>'HỢP ĐỒNG'!F34</f>
        <v>24.02</v>
      </c>
      <c r="F25" s="287">
        <f>'HỢP ĐỒNG'!G34</f>
        <v>120.1</v>
      </c>
      <c r="G25" s="203">
        <f>'HỢP ĐỒNG'!I34</f>
        <v>69120000</v>
      </c>
      <c r="H25" s="205">
        <f>'HỢP ĐỒNG'!I34</f>
        <v>69120000</v>
      </c>
    </row>
    <row r="26" spans="1:8" s="68" customFormat="1" ht="35.25" customHeight="1">
      <c r="A26" s="173">
        <f>'HỢP ĐỒNG'!A35</f>
        <v>17</v>
      </c>
      <c r="B26" s="174" t="str">
        <f>'INVOICE lam CO'!B31</f>
        <v>Teapot</v>
      </c>
      <c r="C26" s="175" t="str">
        <f>'INVOICE lam CO'!D31</f>
        <v>PCE</v>
      </c>
      <c r="D26" s="284">
        <f>'INVOICE lam CO'!E31</f>
        <v>5</v>
      </c>
      <c r="E26" s="287">
        <f>'HỢP ĐỒNG'!F35</f>
        <v>53.38</v>
      </c>
      <c r="F26" s="287">
        <f>'HỢP ĐỒNG'!G35</f>
        <v>266.90000000000003</v>
      </c>
      <c r="G26" s="203">
        <f>'HỢP ĐỒNG'!I35</f>
        <v>69120000</v>
      </c>
      <c r="H26" s="205">
        <f>'HỢP ĐỒNG'!I35</f>
        <v>69120000</v>
      </c>
    </row>
    <row r="27" spans="1:8" s="68" customFormat="1" ht="35.25" customHeight="1">
      <c r="A27" s="173">
        <f>'HỢP ĐỒNG'!A36</f>
        <v>18</v>
      </c>
      <c r="B27" s="174" t="str">
        <f>'INVOICE lam CO'!B32</f>
        <v>Teapot</v>
      </c>
      <c r="C27" s="175" t="str">
        <f>'INVOICE lam CO'!D32</f>
        <v>PCE</v>
      </c>
      <c r="D27" s="284">
        <f>'INVOICE lam CO'!E32</f>
        <v>5</v>
      </c>
      <c r="E27" s="287">
        <f>'HỢP ĐỒNG'!F36</f>
        <v>29.89</v>
      </c>
      <c r="F27" s="287">
        <f>'HỢP ĐỒNG'!G36</f>
        <v>149.44999999999999</v>
      </c>
      <c r="G27" s="203">
        <f>'HỢP ĐỒNG'!I36</f>
        <v>69120000</v>
      </c>
      <c r="H27" s="205">
        <f>'HỢP ĐỒNG'!I36</f>
        <v>69120000</v>
      </c>
    </row>
    <row r="28" spans="1:8" s="68" customFormat="1" ht="35.25" customHeight="1">
      <c r="A28" s="173">
        <f>'HỢP ĐỒNG'!A37</f>
        <v>19</v>
      </c>
      <c r="B28" s="174" t="str">
        <f>'INVOICE lam CO'!B33</f>
        <v>Teapot</v>
      </c>
      <c r="C28" s="175" t="str">
        <f>'INVOICE lam CO'!D33</f>
        <v>PCE</v>
      </c>
      <c r="D28" s="284">
        <f>'INVOICE lam CO'!E33</f>
        <v>3</v>
      </c>
      <c r="E28" s="287">
        <f>'HỢP ĐỒNG'!F37</f>
        <v>32.03</v>
      </c>
      <c r="F28" s="287">
        <f>'HỢP ĐỒNG'!G37</f>
        <v>96.09</v>
      </c>
      <c r="G28" s="203">
        <f>'HỢP ĐỒNG'!I37</f>
        <v>69120000</v>
      </c>
      <c r="H28" s="205">
        <f>'HỢP ĐỒNG'!I37</f>
        <v>69120000</v>
      </c>
    </row>
    <row r="29" spans="1:8" s="68" customFormat="1" ht="35.25" customHeight="1">
      <c r="A29" s="173">
        <f>'HỢP ĐỒNG'!A38</f>
        <v>20</v>
      </c>
      <c r="B29" s="174" t="str">
        <f>'INVOICE lam CO'!B34</f>
        <v>Flow control switch</v>
      </c>
      <c r="C29" s="175" t="str">
        <f>'INVOICE lam CO'!D34</f>
        <v>PCE</v>
      </c>
      <c r="D29" s="284">
        <f>'INVOICE lam CO'!E34</f>
        <v>500</v>
      </c>
      <c r="E29" s="287">
        <f>'HỢP ĐỒNG'!F38</f>
        <v>5.47</v>
      </c>
      <c r="F29" s="287">
        <f>'HỢP ĐỒNG'!G38</f>
        <v>2735</v>
      </c>
      <c r="G29" s="203">
        <f>'HỢP ĐỒNG'!I38</f>
        <v>85365096</v>
      </c>
      <c r="H29" s="205">
        <f>'HỢP ĐỒNG'!I38</f>
        <v>85365096</v>
      </c>
    </row>
    <row r="30" spans="1:8" s="68" customFormat="1" ht="35.25" customHeight="1">
      <c r="A30" s="173">
        <f>'HỢP ĐỒNG'!A39</f>
        <v>21</v>
      </c>
      <c r="B30" s="174" t="str">
        <f>'INVOICE lam CO'!B35</f>
        <v>Flow control switch</v>
      </c>
      <c r="C30" s="175" t="str">
        <f>'INVOICE lam CO'!D35</f>
        <v>PCE</v>
      </c>
      <c r="D30" s="284">
        <f>'INVOICE lam CO'!E35</f>
        <v>300</v>
      </c>
      <c r="E30" s="287">
        <f>'HỢP ĐỒNG'!F39</f>
        <v>8.2899999999999991</v>
      </c>
      <c r="F30" s="287">
        <f>'HỢP ĐỒNG'!G39</f>
        <v>2486.9999999999995</v>
      </c>
      <c r="G30" s="203">
        <f>'HỢP ĐỒNG'!I39</f>
        <v>85365096</v>
      </c>
      <c r="H30" s="205">
        <f>'HỢP ĐỒNG'!I39</f>
        <v>85365096</v>
      </c>
    </row>
    <row r="31" spans="1:8" s="68" customFormat="1" ht="35.25" customHeight="1">
      <c r="A31" s="173">
        <f>'HỢP ĐỒNG'!A40</f>
        <v>22</v>
      </c>
      <c r="B31" s="174" t="str">
        <f>'INVOICE lam CO'!B36</f>
        <v>Pneumatic Manifold</v>
      </c>
      <c r="C31" s="175" t="str">
        <f>'INVOICE lam CO'!D36</f>
        <v>PCE</v>
      </c>
      <c r="D31" s="284">
        <f>'INVOICE lam CO'!E36</f>
        <v>300</v>
      </c>
      <c r="E31" s="287">
        <f>'HỢP ĐỒNG'!F40</f>
        <v>4.49</v>
      </c>
      <c r="F31" s="287">
        <f>'HỢP ĐỒNG'!G40</f>
        <v>1347</v>
      </c>
      <c r="G31" s="203">
        <f>'HỢP ĐỒNG'!I40</f>
        <v>73269099</v>
      </c>
      <c r="H31" s="205">
        <f>'HỢP ĐỒNG'!I40</f>
        <v>73269099</v>
      </c>
    </row>
    <row r="32" spans="1:8" s="68" customFormat="1" ht="35.25" customHeight="1">
      <c r="A32" s="173">
        <f>'HỢP ĐỒNG'!A41</f>
        <v>23</v>
      </c>
      <c r="B32" s="174" t="str">
        <f>'INVOICE lam CO'!B37</f>
        <v>Pickleball racket</v>
      </c>
      <c r="C32" s="175" t="str">
        <f>'INVOICE lam CO'!D37</f>
        <v>PCE</v>
      </c>
      <c r="D32" s="284">
        <f>'INVOICE lam CO'!E37</f>
        <v>400</v>
      </c>
      <c r="E32" s="287">
        <f>'HỢP ĐỒNG'!F41</f>
        <v>9.24</v>
      </c>
      <c r="F32" s="287">
        <f>'HỢP ĐỒNG'!G41</f>
        <v>3696</v>
      </c>
      <c r="G32" s="203">
        <f>'HỢP ĐỒNG'!I41</f>
        <v>95069990</v>
      </c>
      <c r="H32" s="205">
        <f>'HỢP ĐỒNG'!I41</f>
        <v>95069990</v>
      </c>
    </row>
    <row r="33" spans="1:8" s="68" customFormat="1" ht="35.25" customHeight="1">
      <c r="A33" s="173">
        <f>'HỢP ĐỒNG'!A42</f>
        <v>24</v>
      </c>
      <c r="B33" s="174" t="str">
        <f>'INVOICE lam CO'!B38</f>
        <v>Pet bodice</v>
      </c>
      <c r="C33" s="175" t="str">
        <f>'INVOICE lam CO'!D38</f>
        <v>PCE</v>
      </c>
      <c r="D33" s="284">
        <f>'INVOICE lam CO'!E38</f>
        <v>270</v>
      </c>
      <c r="E33" s="287">
        <f>'HỢP ĐỒNG'!F42</f>
        <v>0.92</v>
      </c>
      <c r="F33" s="287">
        <f>'HỢP ĐỒNG'!G42</f>
        <v>248.4</v>
      </c>
      <c r="G33" s="203">
        <f>'HỢP ĐỒNG'!I42</f>
        <v>42010000</v>
      </c>
      <c r="H33" s="205">
        <f>'HỢP ĐỒNG'!I42</f>
        <v>42010000</v>
      </c>
    </row>
    <row r="34" spans="1:8" s="68" customFormat="1" ht="35.25" customHeight="1">
      <c r="A34" s="173">
        <f>'HỢP ĐỒNG'!A43</f>
        <v>25</v>
      </c>
      <c r="B34" s="174" t="str">
        <f>'INVOICE lam CO'!B39</f>
        <v>Pet leash</v>
      </c>
      <c r="C34" s="175" t="str">
        <f>'INVOICE lam CO'!D39</f>
        <v>PCE</v>
      </c>
      <c r="D34" s="284">
        <f>'INVOICE lam CO'!E39</f>
        <v>400</v>
      </c>
      <c r="E34" s="287">
        <f>'HỢP ĐỒNG'!F43</f>
        <v>0.71</v>
      </c>
      <c r="F34" s="287">
        <f>'HỢP ĐỒNG'!G43</f>
        <v>284</v>
      </c>
      <c r="G34" s="203">
        <f>'HỢP ĐỒNG'!I43</f>
        <v>42010000</v>
      </c>
      <c r="H34" s="205">
        <f>'HỢP ĐỒNG'!I43</f>
        <v>42010000</v>
      </c>
    </row>
    <row r="35" spans="1:8" s="68" customFormat="1" ht="35.25" customHeight="1">
      <c r="A35" s="173">
        <f>'HỢP ĐỒNG'!A44</f>
        <v>26</v>
      </c>
      <c r="B35" s="174" t="str">
        <f>'INVOICE lam CO'!B40</f>
        <v>Shower head holder</v>
      </c>
      <c r="C35" s="175" t="str">
        <f>'INVOICE lam CO'!D40</f>
        <v>SET</v>
      </c>
      <c r="D35" s="284">
        <f>'INVOICE lam CO'!E40</f>
        <v>1200</v>
      </c>
      <c r="E35" s="287">
        <f>'HỢP ĐỒNG'!F44</f>
        <v>5.28</v>
      </c>
      <c r="F35" s="287">
        <f>'HỢP ĐỒNG'!G44</f>
        <v>6336</v>
      </c>
      <c r="G35" s="203">
        <f>'HỢP ĐỒNG'!I44</f>
        <v>73249099</v>
      </c>
      <c r="H35" s="205">
        <f>'HỢP ĐỒNG'!I44</f>
        <v>73249099</v>
      </c>
    </row>
    <row r="36" spans="1:8" s="68" customFormat="1" ht="35.25" customHeight="1">
      <c r="A36" s="173">
        <f>'HỢP ĐỒNG'!A45</f>
        <v>27</v>
      </c>
      <c r="B36" s="174" t="str">
        <f>'INVOICE lam CO'!B41</f>
        <v>Trays</v>
      </c>
      <c r="C36" s="175" t="str">
        <f>'INVOICE lam CO'!D41</f>
        <v>PCE</v>
      </c>
      <c r="D36" s="284">
        <f>'INVOICE lam CO'!E41</f>
        <v>48</v>
      </c>
      <c r="E36" s="287">
        <f>'HỢP ĐỒNG'!F45</f>
        <v>10.18</v>
      </c>
      <c r="F36" s="287">
        <f>'HỢP ĐỒNG'!G45</f>
        <v>488.64</v>
      </c>
      <c r="G36" s="203">
        <f>'HỢP ĐỒNG'!I45</f>
        <v>39264000</v>
      </c>
      <c r="H36" s="205">
        <f>'HỢP ĐỒNG'!I45</f>
        <v>39264000</v>
      </c>
    </row>
    <row r="37" spans="1:8" s="68" customFormat="1" ht="35.25" customHeight="1">
      <c r="A37" s="173">
        <f>'HỢP ĐỒNG'!A46</f>
        <v>28</v>
      </c>
      <c r="B37" s="174" t="str">
        <f>'INVOICE lam CO'!B42</f>
        <v>Trays</v>
      </c>
      <c r="C37" s="175" t="str">
        <f>'INVOICE lam CO'!D42</f>
        <v>PCE</v>
      </c>
      <c r="D37" s="284">
        <f>'INVOICE lam CO'!E42</f>
        <v>150</v>
      </c>
      <c r="E37" s="287">
        <f>'HỢP ĐỒNG'!F46</f>
        <v>4.17</v>
      </c>
      <c r="F37" s="287">
        <f>'HỢP ĐỒNG'!G46</f>
        <v>625.5</v>
      </c>
      <c r="G37" s="203">
        <f>'HỢP ĐỒNG'!I46</f>
        <v>39241099</v>
      </c>
      <c r="H37" s="205">
        <f>'HỢP ĐỒNG'!I46</f>
        <v>39241099</v>
      </c>
    </row>
    <row r="38" spans="1:8" s="68" customFormat="1" ht="35.25" customHeight="1">
      <c r="A38" s="173">
        <f>'HỢP ĐỒNG'!A47</f>
        <v>29</v>
      </c>
      <c r="B38" s="174" t="str">
        <f>'INVOICE lam CO'!B43</f>
        <v>Trays</v>
      </c>
      <c r="C38" s="175" t="str">
        <f>'INVOICE lam CO'!D43</f>
        <v>PCE</v>
      </c>
      <c r="D38" s="284">
        <f>'INVOICE lam CO'!E43</f>
        <v>150</v>
      </c>
      <c r="E38" s="287">
        <f>'HỢP ĐỒNG'!F47</f>
        <v>4.17</v>
      </c>
      <c r="F38" s="287">
        <f>'HỢP ĐỒNG'!G47</f>
        <v>625.5</v>
      </c>
      <c r="G38" s="203">
        <f>'HỢP ĐỒNG'!I47</f>
        <v>39241099</v>
      </c>
      <c r="H38" s="205">
        <f>'HỢP ĐỒNG'!I47</f>
        <v>39241099</v>
      </c>
    </row>
    <row r="39" spans="1:8" s="68" customFormat="1" ht="35.25" customHeight="1">
      <c r="A39" s="173">
        <f>'HỢP ĐỒNG'!A48</f>
        <v>30</v>
      </c>
      <c r="B39" s="174" t="str">
        <f>'INVOICE lam CO'!B44</f>
        <v>Hotpot pot</v>
      </c>
      <c r="C39" s="175" t="str">
        <f>'INVOICE lam CO'!D44</f>
        <v>PCE</v>
      </c>
      <c r="D39" s="284">
        <f>'INVOICE lam CO'!E44</f>
        <v>200</v>
      </c>
      <c r="E39" s="287">
        <f>'HỢP ĐỒNG'!F48</f>
        <v>13.19</v>
      </c>
      <c r="F39" s="287">
        <f>'HỢP ĐỒNG'!G48</f>
        <v>2638</v>
      </c>
      <c r="G39" s="203">
        <f>'HỢP ĐỒNG'!I48</f>
        <v>73239310</v>
      </c>
      <c r="H39" s="205">
        <f>'HỢP ĐỒNG'!I48</f>
        <v>73239310</v>
      </c>
    </row>
    <row r="40" spans="1:8" s="68" customFormat="1" ht="35.25" customHeight="1">
      <c r="A40" s="173">
        <f>'HỢP ĐỒNG'!A49</f>
        <v>31</v>
      </c>
      <c r="B40" s="174" t="str">
        <f>'INVOICE lam CO'!B45</f>
        <v>Hotpot pot</v>
      </c>
      <c r="C40" s="175" t="str">
        <f>'INVOICE lam CO'!D45</f>
        <v>PCE</v>
      </c>
      <c r="D40" s="284">
        <f>'INVOICE lam CO'!E45</f>
        <v>26</v>
      </c>
      <c r="E40" s="287">
        <f>'HỢP ĐỒNG'!F49</f>
        <v>7.92</v>
      </c>
      <c r="F40" s="287">
        <f>'HỢP ĐỒNG'!G49</f>
        <v>205.92</v>
      </c>
      <c r="G40" s="203">
        <f>'HỢP ĐỒNG'!I49</f>
        <v>73239310</v>
      </c>
      <c r="H40" s="205">
        <f>'HỢP ĐỒNG'!I49</f>
        <v>73239310</v>
      </c>
    </row>
    <row r="41" spans="1:8" s="68" customFormat="1" ht="35.25" customHeight="1">
      <c r="A41" s="173">
        <f>'HỢP ĐỒNG'!A50</f>
        <v>32</v>
      </c>
      <c r="B41" s="174" t="str">
        <f>'INVOICE lam CO'!B46</f>
        <v>Trays</v>
      </c>
      <c r="C41" s="175" t="str">
        <f>'INVOICE lam CO'!D46</f>
        <v>PCE</v>
      </c>
      <c r="D41" s="284">
        <f>'INVOICE lam CO'!E46</f>
        <v>120</v>
      </c>
      <c r="E41" s="287">
        <f>'HỢP ĐỒNG'!F50</f>
        <v>1.88</v>
      </c>
      <c r="F41" s="287">
        <f>'HỢP ĐỒNG'!G50</f>
        <v>225.6</v>
      </c>
      <c r="G41" s="203">
        <f>'HỢP ĐỒNG'!I50</f>
        <v>39264000</v>
      </c>
      <c r="H41" s="205">
        <f>'HỢP ĐỒNG'!I50</f>
        <v>39264000</v>
      </c>
    </row>
    <row r="42" spans="1:8" s="68" customFormat="1" ht="35.25" customHeight="1">
      <c r="A42" s="173">
        <f>'HỢP ĐỒNG'!A51</f>
        <v>33</v>
      </c>
      <c r="B42" s="174" t="str">
        <f>'INVOICE lam CO'!B47</f>
        <v>Screen protector</v>
      </c>
      <c r="C42" s="175" t="str">
        <f>'INVOICE lam CO'!D47</f>
        <v>PCE</v>
      </c>
      <c r="D42" s="284">
        <f>'INVOICE lam CO'!E47</f>
        <v>6500</v>
      </c>
      <c r="E42" s="287">
        <f>'HỢP ĐỒNG'!F51</f>
        <v>0.183</v>
      </c>
      <c r="F42" s="287">
        <f>'HỢP ĐỒNG'!G51</f>
        <v>1189.5</v>
      </c>
      <c r="G42" s="203">
        <f>'HỢP ĐỒNG'!I51</f>
        <v>70072990</v>
      </c>
      <c r="H42" s="205">
        <f>'HỢP ĐỒNG'!I51</f>
        <v>70072990</v>
      </c>
    </row>
    <row r="43" spans="1:8" s="68" customFormat="1" ht="35.25" customHeight="1">
      <c r="A43" s="173">
        <f>'HỢP ĐỒNG'!A52</f>
        <v>34</v>
      </c>
      <c r="B43" s="174" t="str">
        <f>'INVOICE lam CO'!B48</f>
        <v>Screen protector</v>
      </c>
      <c r="C43" s="175" t="str">
        <f>'INVOICE lam CO'!D48</f>
        <v>PCE</v>
      </c>
      <c r="D43" s="284">
        <f>'INVOICE lam CO'!E48</f>
        <v>13000</v>
      </c>
      <c r="E43" s="331">
        <f>'HỢP ĐỒNG'!F52</f>
        <v>0.20699999999999999</v>
      </c>
      <c r="F43" s="287">
        <f>'HỢP ĐỒNG'!G52</f>
        <v>2691</v>
      </c>
      <c r="G43" s="203">
        <f>'HỢP ĐỒNG'!I52</f>
        <v>70072990</v>
      </c>
      <c r="H43" s="205">
        <f>'HỢP ĐỒNG'!I52</f>
        <v>70072990</v>
      </c>
    </row>
    <row r="44" spans="1:8" s="68" customFormat="1" ht="35.25" customHeight="1">
      <c r="A44" s="173">
        <f>'HỢP ĐỒNG'!A53</f>
        <v>35</v>
      </c>
      <c r="B44" s="174" t="str">
        <f>'INVOICE lam CO'!B49</f>
        <v>Screen protector</v>
      </c>
      <c r="C44" s="175" t="str">
        <f>'INVOICE lam CO'!D49</f>
        <v>PCE</v>
      </c>
      <c r="D44" s="284">
        <f>'INVOICE lam CO'!E49</f>
        <v>1620</v>
      </c>
      <c r="E44" s="287">
        <f>'HỢP ĐỒNG'!F53</f>
        <v>0.66</v>
      </c>
      <c r="F44" s="287">
        <f>'HỢP ĐỒNG'!G53</f>
        <v>1069.2</v>
      </c>
      <c r="G44" s="203">
        <f>'HỢP ĐỒNG'!I53</f>
        <v>70072990</v>
      </c>
      <c r="H44" s="205">
        <f>'HỢP ĐỒNG'!I53</f>
        <v>70072990</v>
      </c>
    </row>
    <row r="45" spans="1:8" s="68" customFormat="1" ht="35.25" customHeight="1">
      <c r="A45" s="173">
        <f>'HỢP ĐỒNG'!A54</f>
        <v>36</v>
      </c>
      <c r="B45" s="174" t="str">
        <f>'INVOICE lam CO'!B50</f>
        <v>Screen protector</v>
      </c>
      <c r="C45" s="175" t="str">
        <f>'INVOICE lam CO'!D50</f>
        <v>PCE</v>
      </c>
      <c r="D45" s="284">
        <f>'INVOICE lam CO'!E50</f>
        <v>5000</v>
      </c>
      <c r="E45" s="287">
        <f>'HỢP ĐỒNG'!F54</f>
        <v>0.32</v>
      </c>
      <c r="F45" s="287">
        <f>'HỢP ĐỒNG'!G54</f>
        <v>1600</v>
      </c>
      <c r="G45" s="203">
        <f>'HỢP ĐỒNG'!I54</f>
        <v>70072990</v>
      </c>
      <c r="H45" s="205">
        <f>'HỢP ĐỒNG'!I54</f>
        <v>70072990</v>
      </c>
    </row>
    <row r="46" spans="1:8" s="68" customFormat="1" ht="35.25" customHeight="1">
      <c r="A46" s="173">
        <f>'HỢP ĐỒNG'!A55</f>
        <v>37</v>
      </c>
      <c r="B46" s="174" t="str">
        <f>'INVOICE lam CO'!B51</f>
        <v>Screen protector</v>
      </c>
      <c r="C46" s="175" t="str">
        <f>'INVOICE lam CO'!D51</f>
        <v>PCE</v>
      </c>
      <c r="D46" s="284">
        <f>'INVOICE lam CO'!E51</f>
        <v>3000</v>
      </c>
      <c r="E46" s="287">
        <f>'HỢP ĐỒNG'!F55</f>
        <v>0.26</v>
      </c>
      <c r="F46" s="287">
        <f>'HỢP ĐỒNG'!G55</f>
        <v>780</v>
      </c>
      <c r="G46" s="203">
        <f>'HỢP ĐỒNG'!I55</f>
        <v>70072990</v>
      </c>
      <c r="H46" s="205">
        <f>'HỢP ĐỒNG'!I55</f>
        <v>70072990</v>
      </c>
    </row>
    <row r="47" spans="1:8" s="68" customFormat="1" ht="35.25" customHeight="1">
      <c r="A47" s="173">
        <f>'HỢP ĐỒNG'!A56</f>
        <v>38</v>
      </c>
      <c r="B47" s="174" t="str">
        <f>'INVOICE lam CO'!B52</f>
        <v>Velvet zinc wire</v>
      </c>
      <c r="C47" s="175" t="str">
        <f>'INVOICE lam CO'!D52</f>
        <v>SET</v>
      </c>
      <c r="D47" s="284">
        <f>'INVOICE lam CO'!E52</f>
        <v>6000</v>
      </c>
      <c r="E47" s="287">
        <f>'HỢP ĐỒNG'!F56</f>
        <v>0.41</v>
      </c>
      <c r="F47" s="287">
        <f>'HỢP ĐỒNG'!G56</f>
        <v>2460</v>
      </c>
      <c r="G47" s="203">
        <f>'HỢP ĐỒNG'!I56</f>
        <v>79070099</v>
      </c>
      <c r="H47" s="205">
        <f>'HỢP ĐỒNG'!I56</f>
        <v>79070099</v>
      </c>
    </row>
    <row r="48" spans="1:8" s="68" customFormat="1" ht="35.25" customHeight="1">
      <c r="A48" s="173">
        <f>'HỢP ĐỒNG'!A57</f>
        <v>39</v>
      </c>
      <c r="B48" s="174" t="str">
        <f>'INVOICE lam CO'!B53</f>
        <v>Scouring pad</v>
      </c>
      <c r="C48" s="175" t="str">
        <f>'INVOICE lam CO'!D53</f>
        <v>PCE</v>
      </c>
      <c r="D48" s="284">
        <f>'INVOICE lam CO'!E53</f>
        <v>30000</v>
      </c>
      <c r="E48" s="287">
        <f>'HỢP ĐỒNG'!F57</f>
        <v>0.122</v>
      </c>
      <c r="F48" s="287">
        <f>'HỢP ĐỒNG'!G57</f>
        <v>3660</v>
      </c>
      <c r="G48" s="203">
        <f>'HỢP ĐỒNG'!I57</f>
        <v>96039090</v>
      </c>
      <c r="H48" s="205">
        <f>'HỢP ĐỒNG'!I57</f>
        <v>96039090</v>
      </c>
    </row>
    <row r="49" spans="1:8" s="68" customFormat="1" ht="35.25" customHeight="1">
      <c r="A49" s="173">
        <f>'HỢP ĐỒNG'!A58</f>
        <v>40</v>
      </c>
      <c r="B49" s="174" t="str">
        <f>'INVOICE lam CO'!B54</f>
        <v>Box of 4 ballpoint pens</v>
      </c>
      <c r="C49" s="175" t="str">
        <f>'INVOICE lam CO'!D54</f>
        <v>UNK</v>
      </c>
      <c r="D49" s="284">
        <f>'INVOICE lam CO'!E54</f>
        <v>2500</v>
      </c>
      <c r="E49" s="287">
        <f>'HỢP ĐỒNG'!F58</f>
        <v>0.56999999999999995</v>
      </c>
      <c r="F49" s="287">
        <f>'HỢP ĐỒNG'!G58</f>
        <v>1424.9999999999998</v>
      </c>
      <c r="G49" s="203">
        <f>'HỢP ĐỒNG'!I58</f>
        <v>96081010</v>
      </c>
      <c r="H49" s="205">
        <f>'HỢP ĐỒNG'!I58</f>
        <v>96081010</v>
      </c>
    </row>
    <row r="50" spans="1:8" s="68" customFormat="1" ht="35.25" customHeight="1">
      <c r="A50" s="173">
        <f>'HỢP ĐỒNG'!A59</f>
        <v>41</v>
      </c>
      <c r="B50" s="174" t="str">
        <f>'INVOICE lam CO'!B55</f>
        <v>School supplies bag</v>
      </c>
      <c r="C50" s="175" t="str">
        <f>'INVOICE lam CO'!D55</f>
        <v>PCE</v>
      </c>
      <c r="D50" s="284">
        <f>'INVOICE lam CO'!E55</f>
        <v>14500</v>
      </c>
      <c r="E50" s="287">
        <f>'HỢP ĐỒNG'!F59</f>
        <v>0.28999999999999998</v>
      </c>
      <c r="F50" s="287">
        <f>'HỢP ĐỒNG'!G59</f>
        <v>4205</v>
      </c>
      <c r="G50" s="203">
        <f>'HỢP ĐỒNG'!I59</f>
        <v>42023200</v>
      </c>
      <c r="H50" s="205">
        <f>'HỢP ĐỒNG'!I59</f>
        <v>42023200</v>
      </c>
    </row>
    <row r="51" spans="1:8" s="68" customFormat="1" ht="35.25" customHeight="1">
      <c r="A51" s="173">
        <f>'HỢP ĐỒNG'!A60</f>
        <v>42</v>
      </c>
      <c r="B51" s="174" t="str">
        <f>'INVOICE lam CO'!B56</f>
        <v>School supplies bag</v>
      </c>
      <c r="C51" s="175" t="str">
        <f>'INVOICE lam CO'!D56</f>
        <v>PCE</v>
      </c>
      <c r="D51" s="284">
        <f>'INVOICE lam CO'!E56</f>
        <v>1000</v>
      </c>
      <c r="E51" s="287">
        <f>'HỢP ĐỒNG'!F60</f>
        <v>0.45</v>
      </c>
      <c r="F51" s="287">
        <f>'HỢP ĐỒNG'!G60</f>
        <v>450</v>
      </c>
      <c r="G51" s="203">
        <f>'HỢP ĐỒNG'!I60</f>
        <v>42023200</v>
      </c>
      <c r="H51" s="205">
        <f>'HỢP ĐỒNG'!I60</f>
        <v>42023200</v>
      </c>
    </row>
    <row r="52" spans="1:8" s="68" customFormat="1" ht="35.25" customHeight="1">
      <c r="A52" s="173">
        <f>'HỢP ĐỒNG'!A61</f>
        <v>43</v>
      </c>
      <c r="B52" s="174" t="str">
        <f>'INVOICE lam CO'!B57</f>
        <v>Ice maker machine</v>
      </c>
      <c r="C52" s="175" t="str">
        <f>'INVOICE lam CO'!D57</f>
        <v>PCE</v>
      </c>
      <c r="D52" s="284">
        <f>'INVOICE lam CO'!E57</f>
        <v>3</v>
      </c>
      <c r="E52" s="287">
        <f>'HỢP ĐỒNG'!F61</f>
        <v>3940.06</v>
      </c>
      <c r="F52" s="287">
        <f>'HỢP ĐỒNG'!G61</f>
        <v>11820.18</v>
      </c>
      <c r="G52" s="203">
        <f>'HỢP ĐỒNG'!I61</f>
        <v>84186990</v>
      </c>
      <c r="H52" s="205">
        <f>'HỢP ĐỒNG'!I61</f>
        <v>84186990</v>
      </c>
    </row>
    <row r="53" spans="1:8" s="68" customFormat="1" ht="35.25" customHeight="1">
      <c r="A53" s="173">
        <f>'HỢP ĐỒNG'!A62</f>
        <v>44</v>
      </c>
      <c r="B53" s="174" t="str">
        <f>'INVOICE lam CO'!B58</f>
        <v>Massage machine</v>
      </c>
      <c r="C53" s="175" t="str">
        <f>'INVOICE lam CO'!D58</f>
        <v>PCE</v>
      </c>
      <c r="D53" s="284">
        <f>'INVOICE lam CO'!E58</f>
        <v>400</v>
      </c>
      <c r="E53" s="287">
        <f>'HỢP ĐỒNG'!F62</f>
        <v>19.98</v>
      </c>
      <c r="F53" s="287">
        <f>'HỢP ĐỒNG'!G62</f>
        <v>7992</v>
      </c>
      <c r="G53" s="203">
        <f>'HỢP ĐỒNG'!I62</f>
        <v>90191010</v>
      </c>
      <c r="H53" s="205">
        <f>'HỢP ĐỒNG'!I62</f>
        <v>90191010</v>
      </c>
    </row>
    <row r="54" spans="1:8" s="68" customFormat="1" ht="35.25" customHeight="1">
      <c r="A54" s="173">
        <f>'HỢP ĐỒNG'!A63</f>
        <v>45</v>
      </c>
      <c r="B54" s="174" t="str">
        <f>'INVOICE lam CO'!B59</f>
        <v>Wash tub</v>
      </c>
      <c r="C54" s="175" t="str">
        <f>'INVOICE lam CO'!D59</f>
        <v>PCE</v>
      </c>
      <c r="D54" s="284">
        <f>'INVOICE lam CO'!E59</f>
        <v>400</v>
      </c>
      <c r="E54" s="287">
        <f>'HỢP ĐỒNG'!F63</f>
        <v>10.41</v>
      </c>
      <c r="F54" s="287">
        <f>'HỢP ĐỒNG'!G63</f>
        <v>4164</v>
      </c>
      <c r="G54" s="203">
        <f>'HỢP ĐỒNG'!I63</f>
        <v>73241010</v>
      </c>
      <c r="H54" s="205">
        <f>'HỢP ĐỒNG'!I63</f>
        <v>73241010</v>
      </c>
    </row>
    <row r="55" spans="1:8" s="68" customFormat="1" ht="35.25" customHeight="1">
      <c r="A55" s="173">
        <f>'HỢP ĐỒNG'!A64</f>
        <v>46</v>
      </c>
      <c r="B55" s="174" t="str">
        <f>'INVOICE lam CO'!B60</f>
        <v>Wash tub</v>
      </c>
      <c r="C55" s="175" t="str">
        <f>'INVOICE lam CO'!D60</f>
        <v>PCE</v>
      </c>
      <c r="D55" s="284">
        <f>'INVOICE lam CO'!E60</f>
        <v>200</v>
      </c>
      <c r="E55" s="287">
        <f>'HỢP ĐỒNG'!F64</f>
        <v>10.77</v>
      </c>
      <c r="F55" s="287">
        <f>'HỢP ĐỒNG'!G64</f>
        <v>2154</v>
      </c>
      <c r="G55" s="203">
        <f>'HỢP ĐỒNG'!I64</f>
        <v>73241010</v>
      </c>
      <c r="H55" s="205">
        <f>'HỢP ĐỒNG'!I64</f>
        <v>73241010</v>
      </c>
    </row>
    <row r="56" spans="1:8" s="68" customFormat="1" ht="35.25" customHeight="1">
      <c r="A56" s="173">
        <f>'HỢP ĐỒNG'!A65</f>
        <v>47</v>
      </c>
      <c r="B56" s="174" t="str">
        <f>'INVOICE lam CO'!B61</f>
        <v>Wash tub</v>
      </c>
      <c r="C56" s="175" t="str">
        <f>'INVOICE lam CO'!D61</f>
        <v>PCE</v>
      </c>
      <c r="D56" s="284">
        <f>'INVOICE lam CO'!E61</f>
        <v>400</v>
      </c>
      <c r="E56" s="287">
        <f>'HỢP ĐỒNG'!F65</f>
        <v>11.09</v>
      </c>
      <c r="F56" s="287">
        <f>'HỢP ĐỒNG'!G65</f>
        <v>4436</v>
      </c>
      <c r="G56" s="203">
        <f>'HỢP ĐỒNG'!I65</f>
        <v>73241010</v>
      </c>
      <c r="H56" s="205">
        <f>'HỢP ĐỒNG'!I65</f>
        <v>73241010</v>
      </c>
    </row>
    <row r="57" spans="1:8" s="68" customFormat="1" ht="35.25" customHeight="1">
      <c r="A57" s="173">
        <f>'HỢP ĐỒNG'!A66</f>
        <v>48</v>
      </c>
      <c r="B57" s="174" t="str">
        <f>'INVOICE lam CO'!B62</f>
        <v>Wash tub</v>
      </c>
      <c r="C57" s="175" t="str">
        <f>'INVOICE lam CO'!D62</f>
        <v>PCE</v>
      </c>
      <c r="D57" s="284">
        <f>'INVOICE lam CO'!E62</f>
        <v>200</v>
      </c>
      <c r="E57" s="287">
        <f>'HỢP ĐỒNG'!F66</f>
        <v>14.36</v>
      </c>
      <c r="F57" s="287">
        <f>'HỢP ĐỒNG'!G66</f>
        <v>2872</v>
      </c>
      <c r="G57" s="203">
        <f>'HỢP ĐỒNG'!I66</f>
        <v>73241010</v>
      </c>
      <c r="H57" s="205">
        <f>'HỢP ĐỒNG'!I66</f>
        <v>73241010</v>
      </c>
    </row>
    <row r="58" spans="1:8" s="68" customFormat="1" ht="35.25" customHeight="1">
      <c r="A58" s="173">
        <f>'HỢP ĐỒNG'!A67</f>
        <v>49</v>
      </c>
      <c r="B58" s="174" t="str">
        <f>'INVOICE lam CO'!B63</f>
        <v>Wash tub</v>
      </c>
      <c r="C58" s="175" t="str">
        <f>'INVOICE lam CO'!D63</f>
        <v>PCE</v>
      </c>
      <c r="D58" s="284">
        <f>'INVOICE lam CO'!E63</f>
        <v>60</v>
      </c>
      <c r="E58" s="287">
        <f>'HỢP ĐỒNG'!F67</f>
        <v>34.07</v>
      </c>
      <c r="F58" s="287">
        <f>'HỢP ĐỒNG'!G67</f>
        <v>2044.2</v>
      </c>
      <c r="G58" s="203">
        <f>'HỢP ĐỒNG'!I67</f>
        <v>73241010</v>
      </c>
      <c r="H58" s="205">
        <f>'HỢP ĐỒNG'!I67</f>
        <v>73241010</v>
      </c>
    </row>
    <row r="59" spans="1:8" s="68" customFormat="1" ht="35.25" customHeight="1">
      <c r="A59" s="173">
        <f>'HỢP ĐỒNG'!A68</f>
        <v>50</v>
      </c>
      <c r="B59" s="174" t="str">
        <f>'INVOICE lam CO'!B64</f>
        <v>Wash tub</v>
      </c>
      <c r="C59" s="175" t="str">
        <f>'INVOICE lam CO'!D64</f>
        <v>PCE</v>
      </c>
      <c r="D59" s="284">
        <f>'INVOICE lam CO'!E64</f>
        <v>100</v>
      </c>
      <c r="E59" s="287">
        <f>'HỢP ĐỒNG'!F68</f>
        <v>16.850000000000001</v>
      </c>
      <c r="F59" s="287">
        <f>'HỢP ĐỒNG'!G68</f>
        <v>1685.0000000000002</v>
      </c>
      <c r="G59" s="203">
        <f>'HỢP ĐỒNG'!I68</f>
        <v>73241010</v>
      </c>
      <c r="H59" s="205">
        <f>'HỢP ĐỒNG'!I68</f>
        <v>73241010</v>
      </c>
    </row>
    <row r="60" spans="1:8" s="68" customFormat="1" ht="35.25" customHeight="1">
      <c r="A60" s="173">
        <f>'HỢP ĐỒNG'!A69</f>
        <v>51</v>
      </c>
      <c r="B60" s="174" t="str">
        <f>'INVOICE lam CO'!B65</f>
        <v>Wash tub</v>
      </c>
      <c r="C60" s="175" t="str">
        <f>'INVOICE lam CO'!D65</f>
        <v>PCE</v>
      </c>
      <c r="D60" s="284">
        <f>'INVOICE lam CO'!E65</f>
        <v>100</v>
      </c>
      <c r="E60" s="287">
        <f>'HỢP ĐỒNG'!F69</f>
        <v>20.46</v>
      </c>
      <c r="F60" s="287">
        <f>'HỢP ĐỒNG'!G69</f>
        <v>2046</v>
      </c>
      <c r="G60" s="203">
        <f>'HỢP ĐỒNG'!I69</f>
        <v>73241010</v>
      </c>
      <c r="H60" s="205">
        <f>'HỢP ĐỒNG'!I69</f>
        <v>73241010</v>
      </c>
    </row>
    <row r="61" spans="1:8" s="68" customFormat="1" ht="35.25" customHeight="1">
      <c r="A61" s="173">
        <f>'HỢP ĐỒNG'!A70</f>
        <v>52</v>
      </c>
      <c r="B61" s="174" t="str">
        <f>'INVOICE lam CO'!B66</f>
        <v>Roller shutter controller</v>
      </c>
      <c r="C61" s="175" t="str">
        <f>'INVOICE lam CO'!D66</f>
        <v>PCE</v>
      </c>
      <c r="D61" s="284">
        <f>'INVOICE lam CO'!E66</f>
        <v>5000</v>
      </c>
      <c r="E61" s="287">
        <f>'HỢP ĐỒNG'!F70</f>
        <v>0.94</v>
      </c>
      <c r="F61" s="287">
        <f>'HỢP ĐỒNG'!G70</f>
        <v>4700</v>
      </c>
      <c r="G61" s="203">
        <f>'HỢP ĐỒNG'!I70</f>
        <v>85437029</v>
      </c>
      <c r="H61" s="205">
        <f>'HỢP ĐỒNG'!I70</f>
        <v>85437029</v>
      </c>
    </row>
    <row r="62" spans="1:8" s="68" customFormat="1" ht="35.25" customHeight="1">
      <c r="A62" s="173">
        <f>'HỢP ĐỒNG'!A71</f>
        <v>53</v>
      </c>
      <c r="B62" s="174" t="str">
        <f>'INVOICE lam CO'!B67</f>
        <v>Roller shutter controller</v>
      </c>
      <c r="C62" s="175" t="str">
        <f>'INVOICE lam CO'!D67</f>
        <v>SET</v>
      </c>
      <c r="D62" s="284">
        <f>'INVOICE lam CO'!E67</f>
        <v>200</v>
      </c>
      <c r="E62" s="287">
        <f>'HỢP ĐỒNG'!F71</f>
        <v>5.65</v>
      </c>
      <c r="F62" s="287">
        <f>'HỢP ĐỒNG'!G71</f>
        <v>1130</v>
      </c>
      <c r="G62" s="203">
        <f>'HỢP ĐỒNG'!I71</f>
        <v>85437029</v>
      </c>
      <c r="H62" s="205">
        <f>'HỢP ĐỒNG'!I71</f>
        <v>85437029</v>
      </c>
    </row>
    <row r="63" spans="1:8" s="68" customFormat="1" ht="35.25" customHeight="1">
      <c r="A63" s="173">
        <f>'HỢP ĐỒNG'!A72</f>
        <v>54</v>
      </c>
      <c r="B63" s="174" t="str">
        <f>'INVOICE lam CO'!B68</f>
        <v>Roller shutter controller</v>
      </c>
      <c r="C63" s="175" t="str">
        <f>'INVOICE lam CO'!D68</f>
        <v>SET</v>
      </c>
      <c r="D63" s="284">
        <f>'INVOICE lam CO'!E68</f>
        <v>500</v>
      </c>
      <c r="E63" s="287">
        <f>'HỢP ĐỒNG'!F72</f>
        <v>7.54</v>
      </c>
      <c r="F63" s="287">
        <f>'HỢP ĐỒNG'!G72</f>
        <v>3770</v>
      </c>
      <c r="G63" s="203">
        <f>'HỢP ĐỒNG'!I72</f>
        <v>85437029</v>
      </c>
      <c r="H63" s="205">
        <f>'HỢP ĐỒNG'!I72</f>
        <v>85437029</v>
      </c>
    </row>
    <row r="64" spans="1:8" s="68" customFormat="1" ht="35.25" customHeight="1">
      <c r="A64" s="173">
        <f>'HỢP ĐỒNG'!A73</f>
        <v>55</v>
      </c>
      <c r="B64" s="174" t="str">
        <f>'INVOICE lam CO'!B69</f>
        <v>Limit switch</v>
      </c>
      <c r="C64" s="175" t="str">
        <f>'INVOICE lam CO'!D69</f>
        <v>PCE</v>
      </c>
      <c r="D64" s="284">
        <f>'INVOICE lam CO'!E69</f>
        <v>1000</v>
      </c>
      <c r="E64" s="287">
        <f>'HỢP ĐỒNG'!F73</f>
        <v>0.68</v>
      </c>
      <c r="F64" s="287">
        <f>'HỢP ĐỒNG'!G73</f>
        <v>680</v>
      </c>
      <c r="G64" s="203">
        <f>'HỢP ĐỒNG'!I73</f>
        <v>85365096</v>
      </c>
      <c r="H64" s="205">
        <f>'HỢP ĐỒNG'!I73</f>
        <v>85365096</v>
      </c>
    </row>
    <row r="65" spans="1:8" s="68" customFormat="1" ht="35.25" customHeight="1">
      <c r="A65" s="173">
        <f>'HỢP ĐỒNG'!A74</f>
        <v>56</v>
      </c>
      <c r="B65" s="174" t="str">
        <f>'INVOICE lam CO'!B70</f>
        <v>Limit switch</v>
      </c>
      <c r="C65" s="175" t="str">
        <f>'INVOICE lam CO'!D70</f>
        <v>PCE</v>
      </c>
      <c r="D65" s="284">
        <f>'INVOICE lam CO'!E70</f>
        <v>4000</v>
      </c>
      <c r="E65" s="287">
        <f>'HỢP ĐỒNG'!F74</f>
        <v>0.75</v>
      </c>
      <c r="F65" s="287">
        <f>'HỢP ĐỒNG'!G74</f>
        <v>3000</v>
      </c>
      <c r="G65" s="203">
        <f>'HỢP ĐỒNG'!I74</f>
        <v>85365096</v>
      </c>
      <c r="H65" s="205">
        <f>'HỢP ĐỒNG'!I74</f>
        <v>85365096</v>
      </c>
    </row>
    <row r="66" spans="1:8" s="68" customFormat="1" ht="35.25" customHeight="1">
      <c r="A66" s="173">
        <f>'HỢP ĐỒNG'!A75</f>
        <v>57</v>
      </c>
      <c r="B66" s="174" t="str">
        <f>'INVOICE lam CO'!B71</f>
        <v>Power adapter</v>
      </c>
      <c r="C66" s="175" t="str">
        <f>'INVOICE lam CO'!D71</f>
        <v>SET</v>
      </c>
      <c r="D66" s="284">
        <f>'INVOICE lam CO'!E71</f>
        <v>2000</v>
      </c>
      <c r="E66" s="287">
        <f>'HỢP ĐỒNG'!F75</f>
        <v>1.7</v>
      </c>
      <c r="F66" s="287">
        <f>'HỢP ĐỒNG'!G75</f>
        <v>3400</v>
      </c>
      <c r="G66" s="203">
        <f>'HỢP ĐỒNG'!I75</f>
        <v>85044090</v>
      </c>
      <c r="H66" s="205">
        <f>'HỢP ĐỒNG'!I75</f>
        <v>85044090</v>
      </c>
    </row>
    <row r="67" spans="1:8" s="68" customFormat="1" ht="35.25" customHeight="1">
      <c r="A67" s="173">
        <f>'HỢP ĐỒNG'!A76</f>
        <v>58</v>
      </c>
      <c r="B67" s="174" t="str">
        <f>'INVOICE lam CO'!B72</f>
        <v>Belt</v>
      </c>
      <c r="C67" s="175" t="str">
        <f>'INVOICE lam CO'!D72</f>
        <v>PCE</v>
      </c>
      <c r="D67" s="284">
        <f>'INVOICE lam CO'!E72</f>
        <v>800</v>
      </c>
      <c r="E67" s="287">
        <f>'HỢP ĐỒNG'!F76</f>
        <v>0.17</v>
      </c>
      <c r="F67" s="287">
        <f>'HỢP ĐỒNG'!G76</f>
        <v>136</v>
      </c>
      <c r="G67" s="203">
        <f>'HỢP ĐỒNG'!I76</f>
        <v>39262090</v>
      </c>
      <c r="H67" s="205">
        <f>'HỢP ĐỒNG'!I76</f>
        <v>39262090</v>
      </c>
    </row>
    <row r="68" spans="1:8" s="68" customFormat="1" ht="35.25" customHeight="1">
      <c r="A68" s="173">
        <f>'HỢP ĐỒNG'!A77</f>
        <v>59</v>
      </c>
      <c r="B68" s="174" t="str">
        <f>'INVOICE lam CO'!B73</f>
        <v>Belt</v>
      </c>
      <c r="C68" s="175" t="str">
        <f>'INVOICE lam CO'!D73</f>
        <v>PCE</v>
      </c>
      <c r="D68" s="284">
        <f>'INVOICE lam CO'!E73</f>
        <v>200</v>
      </c>
      <c r="E68" s="287">
        <f>'HỢP ĐỒNG'!F77</f>
        <v>0.188</v>
      </c>
      <c r="F68" s="287">
        <f>'HỢP ĐỒNG'!G77</f>
        <v>37.6</v>
      </c>
      <c r="G68" s="203">
        <f>'HỢP ĐỒNG'!I77</f>
        <v>39262090</v>
      </c>
      <c r="H68" s="205">
        <f>'HỢP ĐỒNG'!I77</f>
        <v>39262090</v>
      </c>
    </row>
    <row r="69" spans="1:8" s="68" customFormat="1" ht="35.25" customHeight="1">
      <c r="A69" s="173">
        <f>'HỢP ĐỒNG'!A78</f>
        <v>60</v>
      </c>
      <c r="B69" s="174" t="str">
        <f>'INVOICE lam CO'!B74</f>
        <v>Belt</v>
      </c>
      <c r="C69" s="175" t="str">
        <f>'INVOICE lam CO'!D74</f>
        <v>PCE</v>
      </c>
      <c r="D69" s="284">
        <f>'INVOICE lam CO'!E74</f>
        <v>100</v>
      </c>
      <c r="E69" s="287">
        <f>'HỢP ĐỒNG'!F78</f>
        <v>0.188</v>
      </c>
      <c r="F69" s="287">
        <f>'HỢP ĐỒNG'!G78</f>
        <v>18.8</v>
      </c>
      <c r="G69" s="203">
        <f>'HỢP ĐỒNG'!I78</f>
        <v>39262090</v>
      </c>
      <c r="H69" s="205">
        <f>'HỢP ĐỒNG'!I78</f>
        <v>39262090</v>
      </c>
    </row>
    <row r="70" spans="1:8" s="68" customFormat="1" ht="35.25" customHeight="1">
      <c r="A70" s="173">
        <f>'HỢP ĐỒNG'!A79</f>
        <v>61</v>
      </c>
      <c r="B70" s="174" t="str">
        <f>'INVOICE lam CO'!B75</f>
        <v>Toilet seat lid</v>
      </c>
      <c r="C70" s="175" t="str">
        <f>'INVOICE lam CO'!D75</f>
        <v>PCE</v>
      </c>
      <c r="D70" s="284">
        <f>'INVOICE lam CO'!E75</f>
        <v>100</v>
      </c>
      <c r="E70" s="287">
        <f>'HỢP ĐỒNG'!F79</f>
        <v>27.14</v>
      </c>
      <c r="F70" s="287">
        <f>'HỢP ĐỒNG'!G79</f>
        <v>2714</v>
      </c>
      <c r="G70" s="203">
        <f>'HỢP ĐỒNG'!I79</f>
        <v>39222000</v>
      </c>
      <c r="H70" s="205">
        <f>'HỢP ĐỒNG'!I79</f>
        <v>39222000</v>
      </c>
    </row>
    <row r="71" spans="1:8" s="68" customFormat="1" ht="35.25" customHeight="1">
      <c r="A71" s="173">
        <f>'HỢP ĐỒNG'!A80</f>
        <v>62</v>
      </c>
      <c r="B71" s="174" t="str">
        <f>'INVOICE lam CO'!B76</f>
        <v>Cleaning brush</v>
      </c>
      <c r="C71" s="175" t="str">
        <f>'INVOICE lam CO'!D76</f>
        <v>PCE</v>
      </c>
      <c r="D71" s="284">
        <f>'INVOICE lam CO'!E76</f>
        <v>900</v>
      </c>
      <c r="E71" s="287">
        <f>'HỢP ĐỒNG'!F80</f>
        <v>0.17</v>
      </c>
      <c r="F71" s="287">
        <f>'HỢP ĐỒNG'!G80</f>
        <v>153</v>
      </c>
      <c r="G71" s="203">
        <f>'HỢP ĐỒNG'!I80</f>
        <v>96039040</v>
      </c>
      <c r="H71" s="205">
        <f>'HỢP ĐỒNG'!I80</f>
        <v>96039040</v>
      </c>
    </row>
    <row r="72" spans="1:8" s="68" customFormat="1" ht="35.25" customHeight="1">
      <c r="A72" s="173">
        <f>'HỢP ĐỒNG'!A81</f>
        <v>63</v>
      </c>
      <c r="B72" s="174" t="str">
        <f>'INVOICE lam CO'!B77</f>
        <v>Door lock set</v>
      </c>
      <c r="C72" s="175" t="str">
        <f>'INVOICE lam CO'!D77</f>
        <v>SET</v>
      </c>
      <c r="D72" s="284">
        <f>'INVOICE lam CO'!E77</f>
        <v>1000</v>
      </c>
      <c r="E72" s="287">
        <f>'HỢP ĐỒNG'!F81</f>
        <v>1.88</v>
      </c>
      <c r="F72" s="287">
        <f>'HỢP ĐỒNG'!G81</f>
        <v>1880</v>
      </c>
      <c r="G72" s="203">
        <f>'HỢP ĐỒNG'!I81</f>
        <v>83014020</v>
      </c>
      <c r="H72" s="205">
        <f>'HỢP ĐỒNG'!I81</f>
        <v>83014020</v>
      </c>
    </row>
    <row r="73" spans="1:8" s="68" customFormat="1" ht="35.25" customHeight="1">
      <c r="A73" s="173">
        <f>'HỢP ĐỒNG'!A82</f>
        <v>64</v>
      </c>
      <c r="B73" s="174" t="str">
        <f>'INVOICE lam CO'!B78</f>
        <v>Door lock set</v>
      </c>
      <c r="C73" s="175" t="str">
        <f>'INVOICE lam CO'!D78</f>
        <v>SET</v>
      </c>
      <c r="D73" s="284">
        <f>'INVOICE lam CO'!E78</f>
        <v>1000</v>
      </c>
      <c r="E73" s="287">
        <f>'HỢP ĐỒNG'!F82</f>
        <v>3.39</v>
      </c>
      <c r="F73" s="287">
        <f>'HỢP ĐỒNG'!G82</f>
        <v>3390</v>
      </c>
      <c r="G73" s="203">
        <f>'HỢP ĐỒNG'!I82</f>
        <v>83014020</v>
      </c>
      <c r="H73" s="205">
        <f>'HỢP ĐỒNG'!I82</f>
        <v>83014020</v>
      </c>
    </row>
    <row r="74" spans="1:8" s="68" customFormat="1" ht="35.25" customHeight="1">
      <c r="A74" s="173">
        <f>'HỢP ĐỒNG'!A83</f>
        <v>65</v>
      </c>
      <c r="B74" s="174" t="str">
        <f>'INVOICE lam CO'!B79</f>
        <v>Plastic strip roll</v>
      </c>
      <c r="C74" s="175" t="str">
        <f>'INVOICE lam CO'!D79</f>
        <v>ROL</v>
      </c>
      <c r="D74" s="284">
        <f>'INVOICE lam CO'!E79</f>
        <v>560</v>
      </c>
      <c r="E74" s="287">
        <f>'HỢP ĐỒNG'!F83</f>
        <v>0.188</v>
      </c>
      <c r="F74" s="287">
        <f>'HỢP ĐỒNG'!G83</f>
        <v>105.28</v>
      </c>
      <c r="G74" s="203">
        <f>'HỢP ĐỒNG'!I83</f>
        <v>39191010</v>
      </c>
      <c r="H74" s="205">
        <f>'HỢP ĐỒNG'!I83</f>
        <v>39191010</v>
      </c>
    </row>
    <row r="75" spans="1:8" s="68" customFormat="1" ht="35.25" customHeight="1">
      <c r="A75" s="173">
        <f>'HỢP ĐỒNG'!A84</f>
        <v>66</v>
      </c>
      <c r="B75" s="174" t="str">
        <f>'INVOICE lam CO'!B80</f>
        <v>Plastic strip roll</v>
      </c>
      <c r="C75" s="175" t="str">
        <f>'INVOICE lam CO'!D80</f>
        <v>ROL</v>
      </c>
      <c r="D75" s="284">
        <f>'INVOICE lam CO'!E80</f>
        <v>1500</v>
      </c>
      <c r="E75" s="287">
        <f>'HỢP ĐỒNG'!F84</f>
        <v>0.38</v>
      </c>
      <c r="F75" s="287">
        <f>'HỢP ĐỒNG'!G84</f>
        <v>570</v>
      </c>
      <c r="G75" s="203">
        <f>'HỢP ĐỒNG'!I84</f>
        <v>39191010</v>
      </c>
      <c r="H75" s="205">
        <f>'HỢP ĐỒNG'!I84</f>
        <v>39191010</v>
      </c>
    </row>
    <row r="76" spans="1:8" s="68" customFormat="1" ht="35.25" customHeight="1">
      <c r="A76" s="173">
        <f>'HỢP ĐỒNG'!A85</f>
        <v>67</v>
      </c>
      <c r="B76" s="174" t="str">
        <f>'INVOICE lam CO'!B81</f>
        <v>Plastic strip roll</v>
      </c>
      <c r="C76" s="175" t="str">
        <f>'INVOICE lam CO'!D81</f>
        <v>ROL</v>
      </c>
      <c r="D76" s="284">
        <f>'INVOICE lam CO'!E81</f>
        <v>480</v>
      </c>
      <c r="E76" s="287">
        <f>'HỢP ĐỒNG'!F85</f>
        <v>0.22600000000000001</v>
      </c>
      <c r="F76" s="287">
        <f>'HỢP ĐỒNG'!G85</f>
        <v>108.48</v>
      </c>
      <c r="G76" s="203">
        <f>'HỢP ĐỒNG'!I85</f>
        <v>39191010</v>
      </c>
      <c r="H76" s="205">
        <f>'HỢP ĐỒNG'!I85</f>
        <v>39191010</v>
      </c>
    </row>
    <row r="77" spans="1:8" s="68" customFormat="1" ht="35.25" customHeight="1">
      <c r="A77" s="173">
        <f>'HỢP ĐỒNG'!A86</f>
        <v>68</v>
      </c>
      <c r="B77" s="174" t="str">
        <f>'INVOICE lam CO'!B82</f>
        <v>L-shaped table corner protector</v>
      </c>
      <c r="C77" s="175" t="str">
        <f>'INVOICE lam CO'!D82</f>
        <v>PCE</v>
      </c>
      <c r="D77" s="284">
        <f>'INVOICE lam CO'!E82</f>
        <v>800</v>
      </c>
      <c r="E77" s="287">
        <f>'HỢP ĐỒNG'!F86</f>
        <v>0.3</v>
      </c>
      <c r="F77" s="287">
        <f>'HỢP ĐỒNG'!G86</f>
        <v>240</v>
      </c>
      <c r="G77" s="203">
        <f>'HỢP ĐỒNG'!I86</f>
        <v>39269099</v>
      </c>
      <c r="H77" s="205">
        <f>'HỢP ĐỒNG'!I86</f>
        <v>39269099</v>
      </c>
    </row>
    <row r="78" spans="1:8" s="68" customFormat="1" ht="35.25" customHeight="1">
      <c r="A78" s="173">
        <f>'HỢP ĐỒNG'!A87</f>
        <v>69</v>
      </c>
      <c r="B78" s="174" t="str">
        <f>'INVOICE lam CO'!B83</f>
        <v>Oil filter</v>
      </c>
      <c r="C78" s="175" t="str">
        <f>'INVOICE lam CO'!D83</f>
        <v>PCE</v>
      </c>
      <c r="D78" s="284">
        <f>'INVOICE lam CO'!E83</f>
        <v>18</v>
      </c>
      <c r="E78" s="287">
        <f>'HỢP ĐỒNG'!F87</f>
        <v>148.9</v>
      </c>
      <c r="F78" s="287">
        <f>'HỢP ĐỒNG'!G87</f>
        <v>2680.2000000000003</v>
      </c>
      <c r="G78" s="203">
        <f>'HỢP ĐỒNG'!I87</f>
        <v>84212950</v>
      </c>
      <c r="H78" s="205">
        <f>'HỢP ĐỒNG'!I87</f>
        <v>84212950</v>
      </c>
    </row>
    <row r="79" spans="1:8" s="68" customFormat="1" ht="35.25" customHeight="1">
      <c r="A79" s="173">
        <f>'HỢP ĐỒNG'!A88</f>
        <v>70</v>
      </c>
      <c r="B79" s="174" t="str">
        <f>'INVOICE lam CO'!B84</f>
        <v>Oil filter</v>
      </c>
      <c r="C79" s="175" t="str">
        <f>'INVOICE lam CO'!D84</f>
        <v>PCE</v>
      </c>
      <c r="D79" s="284">
        <f>'INVOICE lam CO'!E84</f>
        <v>10</v>
      </c>
      <c r="E79" s="287">
        <f>'HỢP ĐỒNG'!F88</f>
        <v>122.52</v>
      </c>
      <c r="F79" s="287">
        <f>'HỢP ĐỒNG'!G88</f>
        <v>1225.2</v>
      </c>
      <c r="G79" s="203">
        <f>'HỢP ĐỒNG'!I88</f>
        <v>84212950</v>
      </c>
      <c r="H79" s="205">
        <f>'HỢP ĐỒNG'!I88</f>
        <v>84212950</v>
      </c>
    </row>
    <row r="80" spans="1:8" s="68" customFormat="1" ht="35.25" customHeight="1">
      <c r="A80" s="173">
        <f>'HỢP ĐỒNG'!A89</f>
        <v>71</v>
      </c>
      <c r="B80" s="174" t="str">
        <f>'INVOICE lam CO'!B85</f>
        <v>Roller shutter controller</v>
      </c>
      <c r="C80" s="175" t="str">
        <f>'INVOICE lam CO'!D85</f>
        <v>SET</v>
      </c>
      <c r="D80" s="284">
        <f>'INVOICE lam CO'!E85</f>
        <v>500</v>
      </c>
      <c r="E80" s="287">
        <f>'HỢP ĐỒNG'!F89</f>
        <v>18.850000000000001</v>
      </c>
      <c r="F80" s="287">
        <f>'HỢP ĐỒNG'!G89</f>
        <v>9425</v>
      </c>
      <c r="G80" s="203">
        <f>'HỢP ĐỒNG'!I89</f>
        <v>85437029</v>
      </c>
      <c r="H80" s="205">
        <f>'HỢP ĐỒNG'!I89</f>
        <v>85437029</v>
      </c>
    </row>
    <row r="81" spans="1:8" s="68" customFormat="1" ht="35.25" customHeight="1">
      <c r="A81" s="173">
        <f>'HỢP ĐỒNG'!A90</f>
        <v>72</v>
      </c>
      <c r="B81" s="174" t="str">
        <f>'INVOICE lam CO'!B86</f>
        <v>Roller shutter controller</v>
      </c>
      <c r="C81" s="175" t="str">
        <f>'INVOICE lam CO'!D86</f>
        <v>SET</v>
      </c>
      <c r="D81" s="284">
        <f>'INVOICE lam CO'!E86</f>
        <v>700</v>
      </c>
      <c r="E81" s="287">
        <f>'HỢP ĐỒNG'!F90</f>
        <v>11.31</v>
      </c>
      <c r="F81" s="287">
        <f>'HỢP ĐỒNG'!G90</f>
        <v>7917</v>
      </c>
      <c r="G81" s="203">
        <f>'HỢP ĐỒNG'!I90</f>
        <v>85437029</v>
      </c>
      <c r="H81" s="205">
        <f>'HỢP ĐỒNG'!I90</f>
        <v>85437029</v>
      </c>
    </row>
    <row r="82" spans="1:8" s="68" customFormat="1" ht="35.25" customHeight="1">
      <c r="A82" s="173">
        <f>'HỢP ĐỒNG'!A91</f>
        <v>73</v>
      </c>
      <c r="B82" s="174" t="str">
        <f>'INVOICE lam CO'!B87</f>
        <v>Cleaning brush</v>
      </c>
      <c r="C82" s="175" t="str">
        <f>'INVOICE lam CO'!D87</f>
        <v>PCE</v>
      </c>
      <c r="D82" s="284">
        <f>'INVOICE lam CO'!E87</f>
        <v>980</v>
      </c>
      <c r="E82" s="287">
        <f>'HỢP ĐỒNG'!F91</f>
        <v>0.3</v>
      </c>
      <c r="F82" s="287">
        <f>'HỢP ĐỒNG'!G91</f>
        <v>294</v>
      </c>
      <c r="G82" s="203">
        <f>'HỢP ĐỒNG'!I91</f>
        <v>96039040</v>
      </c>
      <c r="H82" s="205">
        <f>'HỢP ĐỒNG'!I91</f>
        <v>96039040</v>
      </c>
    </row>
    <row r="83" spans="1:8" s="68" customFormat="1" ht="35.25" customHeight="1">
      <c r="A83" s="173">
        <f>'HỢP ĐỒNG'!A92</f>
        <v>74</v>
      </c>
      <c r="B83" s="174" t="str">
        <f>'INVOICE lam CO'!B88</f>
        <v>Motor</v>
      </c>
      <c r="C83" s="175" t="str">
        <f>'INVOICE lam CO'!D88</f>
        <v>PCE</v>
      </c>
      <c r="D83" s="284">
        <f>'INVOICE lam CO'!E88</f>
        <v>128</v>
      </c>
      <c r="E83" s="287">
        <f>'HỢP ĐỒNG'!F92</f>
        <v>6.03</v>
      </c>
      <c r="F83" s="287">
        <f>'HỢP ĐỒNG'!G92</f>
        <v>771.84</v>
      </c>
      <c r="G83" s="203">
        <f>'HỢP ĐỒNG'!I92</f>
        <v>85012012</v>
      </c>
      <c r="H83" s="205">
        <f>'HỢP ĐỒNG'!I92</f>
        <v>85012012</v>
      </c>
    </row>
    <row r="84" spans="1:8" s="68" customFormat="1" ht="35.25" customHeight="1">
      <c r="A84" s="173">
        <f>'HỢP ĐỒNG'!A93</f>
        <v>75</v>
      </c>
      <c r="B84" s="174" t="str">
        <f>'INVOICE lam CO'!B89</f>
        <v>Motor</v>
      </c>
      <c r="C84" s="175" t="str">
        <f>'INVOICE lam CO'!D89</f>
        <v>PCE</v>
      </c>
      <c r="D84" s="284">
        <f>'INVOICE lam CO'!E89</f>
        <v>1000</v>
      </c>
      <c r="E84" s="287">
        <f>'HỢP ĐỒNG'!F93</f>
        <v>1.06</v>
      </c>
      <c r="F84" s="287">
        <f>'HỢP ĐỒNG'!G93</f>
        <v>1060</v>
      </c>
      <c r="G84" s="203">
        <f>'HỢP ĐỒNG'!I93</f>
        <v>85012019</v>
      </c>
      <c r="H84" s="205">
        <f>'HỢP ĐỒNG'!I93</f>
        <v>85012019</v>
      </c>
    </row>
    <row r="85" spans="1:8" s="68" customFormat="1" ht="35.25" customHeight="1">
      <c r="A85" s="173">
        <f>'HỢP ĐỒNG'!A94</f>
        <v>76</v>
      </c>
      <c r="B85" s="174" t="str">
        <f>'INVOICE lam CO'!B90</f>
        <v>Plastic storage tray</v>
      </c>
      <c r="C85" s="175" t="str">
        <f>'INVOICE lam CO'!D90</f>
        <v>PCE</v>
      </c>
      <c r="D85" s="284">
        <f>'INVOICE lam CO'!E90</f>
        <v>200</v>
      </c>
      <c r="E85" s="287">
        <f>'HỢP ĐỒNG'!F94</f>
        <v>1.69</v>
      </c>
      <c r="F85" s="287">
        <f>'HỢP ĐỒNG'!G94</f>
        <v>338</v>
      </c>
      <c r="G85" s="203">
        <f>'HỢP ĐỒNG'!I94</f>
        <v>39249090</v>
      </c>
      <c r="H85" s="205">
        <f>'HỢP ĐỒNG'!I94</f>
        <v>39249090</v>
      </c>
    </row>
    <row r="86" spans="1:8" s="68" customFormat="1" ht="35.25" customHeight="1">
      <c r="A86" s="173">
        <f>'HỢP ĐỒNG'!A95</f>
        <v>77</v>
      </c>
      <c r="B86" s="174" t="str">
        <f>'INVOICE lam CO'!B91</f>
        <v>Shoes</v>
      </c>
      <c r="C86" s="175" t="str">
        <f>'INVOICE lam CO'!D91</f>
        <v>PR</v>
      </c>
      <c r="D86" s="284">
        <f>'INVOICE lam CO'!E91</f>
        <v>130</v>
      </c>
      <c r="E86" s="287">
        <f>'HỢP ĐỒNG'!F95</f>
        <v>3.02</v>
      </c>
      <c r="F86" s="287">
        <f>'HỢP ĐỒNG'!G95</f>
        <v>392.6</v>
      </c>
      <c r="G86" s="203">
        <f>'HỢP ĐỒNG'!I95</f>
        <v>64051000</v>
      </c>
      <c r="H86" s="205">
        <f>'HỢP ĐỒNG'!I95</f>
        <v>64051000</v>
      </c>
    </row>
    <row r="87" spans="1:8" s="68" customFormat="1" ht="35.25" customHeight="1">
      <c r="A87" s="173">
        <f>'HỢP ĐỒNG'!A96</f>
        <v>78</v>
      </c>
      <c r="B87" s="174" t="str">
        <f>'INVOICE lam CO'!B92</f>
        <v>Shoes</v>
      </c>
      <c r="C87" s="175" t="str">
        <f>'INVOICE lam CO'!D92</f>
        <v>PR</v>
      </c>
      <c r="D87" s="284">
        <f>'INVOICE lam CO'!E92</f>
        <v>75</v>
      </c>
      <c r="E87" s="287">
        <f>'HỢP ĐỒNG'!F96</f>
        <v>3.02</v>
      </c>
      <c r="F87" s="287">
        <f>'HỢP ĐỒNG'!G96</f>
        <v>226.5</v>
      </c>
      <c r="G87" s="203">
        <f>'HỢP ĐỒNG'!I96</f>
        <v>64051000</v>
      </c>
      <c r="H87" s="205">
        <f>'HỢP ĐỒNG'!I96</f>
        <v>64051000</v>
      </c>
    </row>
    <row r="88" spans="1:8" s="68" customFormat="1" ht="35.25" customHeight="1">
      <c r="A88" s="173">
        <f>'HỢP ĐỒNG'!A97</f>
        <v>79</v>
      </c>
      <c r="B88" s="174" t="str">
        <f>'INVOICE lam CO'!B93</f>
        <v>Ballet flats</v>
      </c>
      <c r="C88" s="175" t="str">
        <f>'INVOICE lam CO'!D93</f>
        <v>PR</v>
      </c>
      <c r="D88" s="284">
        <f>'INVOICE lam CO'!E93</f>
        <v>180</v>
      </c>
      <c r="E88" s="287">
        <f>'HỢP ĐỒNG'!F97</f>
        <v>3.02</v>
      </c>
      <c r="F88" s="287">
        <f>'HỢP ĐỒNG'!G97</f>
        <v>543.6</v>
      </c>
      <c r="G88" s="203">
        <f>'HỢP ĐỒNG'!I97</f>
        <v>64051000</v>
      </c>
      <c r="H88" s="205">
        <f>'HỢP ĐỒNG'!I97</f>
        <v>64051000</v>
      </c>
    </row>
    <row r="89" spans="1:8" s="68" customFormat="1" ht="35.25" customHeight="1">
      <c r="A89" s="173">
        <f>'HỢP ĐỒNG'!A98</f>
        <v>80</v>
      </c>
      <c r="B89" s="174" t="str">
        <f>'INVOICE lam CO'!B94</f>
        <v>Mechanical thermo hygrometer</v>
      </c>
      <c r="C89" s="175" t="str">
        <f>'INVOICE lam CO'!D94</f>
        <v>PCE</v>
      </c>
      <c r="D89" s="284">
        <f>'INVOICE lam CO'!E94</f>
        <v>400</v>
      </c>
      <c r="E89" s="287">
        <f>'HỢP ĐỒNG'!F98</f>
        <v>1.88</v>
      </c>
      <c r="F89" s="287">
        <f>'HỢP ĐỒNG'!G98</f>
        <v>752</v>
      </c>
      <c r="G89" s="203">
        <f>'HỢP ĐỒNG'!I98</f>
        <v>90258000</v>
      </c>
      <c r="H89" s="205">
        <f>'HỢP ĐỒNG'!I98</f>
        <v>90258000</v>
      </c>
    </row>
    <row r="90" spans="1:8" s="68" customFormat="1" ht="35.25" customHeight="1">
      <c r="A90" s="173">
        <f>'HỢP ĐỒNG'!A99</f>
        <v>81</v>
      </c>
      <c r="B90" s="174" t="str">
        <f>'INVOICE lam CO'!B95</f>
        <v>Flower frog</v>
      </c>
      <c r="C90" s="175" t="str">
        <f>'INVOICE lam CO'!D95</f>
        <v>PCE</v>
      </c>
      <c r="D90" s="284">
        <f>'INVOICE lam CO'!E95</f>
        <v>1600</v>
      </c>
      <c r="E90" s="287">
        <f>'HỢP ĐỒNG'!F99</f>
        <v>9.4E-2</v>
      </c>
      <c r="F90" s="287">
        <f>'HỢP ĐỒNG'!G99</f>
        <v>150.4</v>
      </c>
      <c r="G90" s="203">
        <f>'HỢP ĐỒNG'!I99</f>
        <v>39269099</v>
      </c>
      <c r="H90" s="205">
        <f>'HỢP ĐỒNG'!I99</f>
        <v>39269099</v>
      </c>
    </row>
    <row r="91" spans="1:8" s="68" customFormat="1" ht="35.25" customHeight="1">
      <c r="A91" s="173">
        <f>'HỢP ĐỒNG'!A100</f>
        <v>82</v>
      </c>
      <c r="B91" s="174" t="str">
        <f>'INVOICE lam CO'!B96</f>
        <v>Cargo net</v>
      </c>
      <c r="C91" s="175" t="str">
        <f>'INVOICE lam CO'!D96</f>
        <v>PCE</v>
      </c>
      <c r="D91" s="284">
        <f>'INVOICE lam CO'!E96</f>
        <v>2768</v>
      </c>
      <c r="E91" s="287">
        <f>'HỢP ĐỒNG'!F100</f>
        <v>1.32</v>
      </c>
      <c r="F91" s="287">
        <f>'HỢP ĐỒNG'!G100</f>
        <v>3653.76</v>
      </c>
      <c r="G91" s="203">
        <f>'HỢP ĐỒNG'!I100</f>
        <v>56081990</v>
      </c>
      <c r="H91" s="205">
        <f>'HỢP ĐỒNG'!I100</f>
        <v>56081990</v>
      </c>
    </row>
    <row r="92" spans="1:8" s="68" customFormat="1" ht="35.25" customHeight="1">
      <c r="A92" s="173">
        <f>'HỢP ĐỒNG'!A101</f>
        <v>83</v>
      </c>
      <c r="B92" s="174" t="str">
        <f>'INVOICE lam CO'!B97</f>
        <v>LED half-moon lamp</v>
      </c>
      <c r="C92" s="175" t="str">
        <f>'INVOICE lam CO'!D97</f>
        <v>PCE</v>
      </c>
      <c r="D92" s="284">
        <f>'INVOICE lam CO'!E97</f>
        <v>600</v>
      </c>
      <c r="E92" s="287">
        <f>'HỢP ĐỒNG'!F101</f>
        <v>20.73</v>
      </c>
      <c r="F92" s="287">
        <f>'HỢP ĐỒNG'!G101</f>
        <v>12438</v>
      </c>
      <c r="G92" s="203">
        <f>'HỢP ĐỒNG'!I101</f>
        <v>94054290</v>
      </c>
      <c r="H92" s="205">
        <f>'HỢP ĐỒNG'!I101</f>
        <v>94054290</v>
      </c>
    </row>
    <row r="93" spans="1:8" s="68" customFormat="1" ht="35.25" customHeight="1">
      <c r="A93" s="173">
        <f>'HỢP ĐỒNG'!A102</f>
        <v>84</v>
      </c>
      <c r="B93" s="174" t="str">
        <f>'INVOICE lam CO'!B98</f>
        <v>Audio cable</v>
      </c>
      <c r="C93" s="175" t="str">
        <f>'INVOICE lam CO'!D98</f>
        <v>PCE</v>
      </c>
      <c r="D93" s="284">
        <f>'INVOICE lam CO'!E98</f>
        <v>2830</v>
      </c>
      <c r="E93" s="287">
        <f>'HỢP ĐỒNG'!F102</f>
        <v>0.75</v>
      </c>
      <c r="F93" s="287">
        <f>'HỢP ĐỒNG'!G102</f>
        <v>2122.5</v>
      </c>
      <c r="G93" s="203">
        <f>'HỢP ĐỒNG'!I102</f>
        <v>85444299</v>
      </c>
      <c r="H93" s="205">
        <f>'HỢP ĐỒNG'!I102</f>
        <v>85444299</v>
      </c>
    </row>
    <row r="94" spans="1:8" s="68" customFormat="1" ht="35.25" customHeight="1">
      <c r="A94" s="173">
        <f>'HỢP ĐỒNG'!A103</f>
        <v>85</v>
      </c>
      <c r="B94" s="174" t="str">
        <f>'INVOICE lam CO'!B99</f>
        <v>Audio cable</v>
      </c>
      <c r="C94" s="175" t="str">
        <f>'INVOICE lam CO'!D99</f>
        <v>ROL</v>
      </c>
      <c r="D94" s="284">
        <f>'INVOICE lam CO'!E99</f>
        <v>52</v>
      </c>
      <c r="E94" s="287">
        <f>'HỢP ĐỒNG'!F103</f>
        <v>26.39</v>
      </c>
      <c r="F94" s="287">
        <f>'HỢP ĐỒNG'!G103</f>
        <v>1372.28</v>
      </c>
      <c r="G94" s="203">
        <f>'HỢP ĐỒNG'!I103</f>
        <v>85444299</v>
      </c>
      <c r="H94" s="205">
        <f>'HỢP ĐỒNG'!I103</f>
        <v>85444299</v>
      </c>
    </row>
    <row r="95" spans="1:8" s="68" customFormat="1" ht="35.25" customHeight="1">
      <c r="A95" s="173">
        <f>'HỢP ĐỒNG'!A104</f>
        <v>86</v>
      </c>
      <c r="B95" s="174" t="str">
        <f>'INVOICE lam CO'!B100</f>
        <v>TV remote control</v>
      </c>
      <c r="C95" s="175" t="str">
        <f>'INVOICE lam CO'!D100</f>
        <v>PCE</v>
      </c>
      <c r="D95" s="284">
        <f>'INVOICE lam CO'!E100</f>
        <v>350</v>
      </c>
      <c r="E95" s="287">
        <f>'HỢP ĐỒNG'!F104</f>
        <v>0.45</v>
      </c>
      <c r="F95" s="287">
        <f>'HỢP ĐỒNG'!G104</f>
        <v>157.5</v>
      </c>
      <c r="G95" s="203">
        <f>'HỢP ĐỒNG'!I104</f>
        <v>85437029</v>
      </c>
      <c r="H95" s="205">
        <f>'HỢP ĐỒNG'!I104</f>
        <v>85437029</v>
      </c>
    </row>
    <row r="96" spans="1:8" s="68" customFormat="1" ht="35.25" customHeight="1">
      <c r="A96" s="173">
        <f>'HỢP ĐỒNG'!A105</f>
        <v>87</v>
      </c>
      <c r="B96" s="174" t="str">
        <f>'INVOICE lam CO'!B101</f>
        <v>TV remote control</v>
      </c>
      <c r="C96" s="175" t="str">
        <f>'INVOICE lam CO'!D101</f>
        <v>PCE</v>
      </c>
      <c r="D96" s="284">
        <f>'INVOICE lam CO'!E101</f>
        <v>150</v>
      </c>
      <c r="E96" s="287">
        <f>'HỢP ĐỒNG'!F105</f>
        <v>0.93</v>
      </c>
      <c r="F96" s="287">
        <f>'HỢP ĐỒNG'!G105</f>
        <v>139.5</v>
      </c>
      <c r="G96" s="203">
        <f>'HỢP ĐỒNG'!I105</f>
        <v>85437029</v>
      </c>
      <c r="H96" s="205">
        <f>'HỢP ĐỒNG'!I105</f>
        <v>85437029</v>
      </c>
    </row>
    <row r="97" spans="1:8" s="68" customFormat="1" ht="35.25" customHeight="1">
      <c r="A97" s="173">
        <f>'HỢP ĐỒNG'!A106</f>
        <v>88</v>
      </c>
      <c r="B97" s="174" t="str">
        <f>'INVOICE lam CO'!B102</f>
        <v>Audio converter</v>
      </c>
      <c r="C97" s="175" t="str">
        <f>'INVOICE lam CO'!D102</f>
        <v>PCE</v>
      </c>
      <c r="D97" s="284">
        <f>'INVOICE lam CO'!E102</f>
        <v>250</v>
      </c>
      <c r="E97" s="287">
        <f>'HỢP ĐỒNG'!F106</f>
        <v>2.2599999999999998</v>
      </c>
      <c r="F97" s="287">
        <f>'HỢP ĐỒNG'!G106</f>
        <v>565</v>
      </c>
      <c r="G97" s="203">
        <f>'HỢP ĐỒNG'!I106</f>
        <v>85437090</v>
      </c>
      <c r="H97" s="205">
        <f>'HỢP ĐỒNG'!I106</f>
        <v>85437090</v>
      </c>
    </row>
    <row r="98" spans="1:8" s="68" customFormat="1" ht="35.25" customHeight="1">
      <c r="A98" s="173">
        <f>'HỢP ĐỒNG'!A107</f>
        <v>89</v>
      </c>
      <c r="B98" s="174" t="str">
        <f>'INVOICE lam CO'!B103</f>
        <v>Connector</v>
      </c>
      <c r="C98" s="175" t="str">
        <f>'INVOICE lam CO'!D103</f>
        <v>PCE</v>
      </c>
      <c r="D98" s="284">
        <f>'INVOICE lam CO'!E103</f>
        <v>500</v>
      </c>
      <c r="E98" s="287">
        <f>'HỢP ĐỒNG'!F107</f>
        <v>0.26</v>
      </c>
      <c r="F98" s="287">
        <f>'HỢP ĐỒNG'!G107</f>
        <v>130</v>
      </c>
      <c r="G98" s="203">
        <f>'HỢP ĐỒNG'!I107</f>
        <v>85369094</v>
      </c>
      <c r="H98" s="205">
        <f>'HỢP ĐỒNG'!I107</f>
        <v>85369094</v>
      </c>
    </row>
    <row r="99" spans="1:8" s="68" customFormat="1" ht="35.25" customHeight="1">
      <c r="A99" s="173">
        <f>'HỢP ĐỒNG'!A108</f>
        <v>90</v>
      </c>
      <c r="B99" s="174" t="str">
        <f>'INVOICE lam CO'!B104</f>
        <v>Full-body massage pad</v>
      </c>
      <c r="C99" s="175" t="str">
        <f>'INVOICE lam CO'!D104</f>
        <v>PCE</v>
      </c>
      <c r="D99" s="284">
        <f>'INVOICE lam CO'!E104</f>
        <v>100</v>
      </c>
      <c r="E99" s="287">
        <f>'HỢP ĐỒNG'!F108</f>
        <v>9.42</v>
      </c>
      <c r="F99" s="287">
        <f>'HỢP ĐỒNG'!G108</f>
        <v>942</v>
      </c>
      <c r="G99" s="203">
        <f>'HỢP ĐỒNG'!I108</f>
        <v>90191010</v>
      </c>
      <c r="H99" s="205">
        <f>'HỢP ĐỒNG'!I108</f>
        <v>90191010</v>
      </c>
    </row>
    <row r="100" spans="1:8" s="68" customFormat="1" ht="35.25" customHeight="1">
      <c r="A100" s="173">
        <f>'HỢP ĐỒNG'!A109</f>
        <v>91</v>
      </c>
      <c r="B100" s="174" t="str">
        <f>'INVOICE lam CO'!B105</f>
        <v>Gear reduction motor</v>
      </c>
      <c r="C100" s="175" t="str">
        <f>'INVOICE lam CO'!D105</f>
        <v>PCE</v>
      </c>
      <c r="D100" s="284">
        <f>'INVOICE lam CO'!E105</f>
        <v>370</v>
      </c>
      <c r="E100" s="287">
        <f>'HỢP ĐỒNG'!F109</f>
        <v>0.68</v>
      </c>
      <c r="F100" s="287">
        <f>'HỢP ĐỒNG'!G109</f>
        <v>251.60000000000002</v>
      </c>
      <c r="G100" s="203">
        <f>'HỢP ĐỒNG'!I109</f>
        <v>85013170</v>
      </c>
      <c r="H100" s="205">
        <f>'HỢP ĐỒNG'!I109</f>
        <v>85013170</v>
      </c>
    </row>
    <row r="101" spans="1:8" s="68" customFormat="1" ht="35.25" customHeight="1">
      <c r="A101" s="173">
        <f>'HỢP ĐỒNG'!A110</f>
        <v>92</v>
      </c>
      <c r="B101" s="174" t="str">
        <f>'INVOICE lam CO'!B106</f>
        <v>Plastic tray</v>
      </c>
      <c r="C101" s="175" t="str">
        <f>'INVOICE lam CO'!D106</f>
        <v>PCE</v>
      </c>
      <c r="D101" s="284">
        <f>'INVOICE lam CO'!E106</f>
        <v>800</v>
      </c>
      <c r="E101" s="287">
        <f>'HỢP ĐỒNG'!F110</f>
        <v>0.6</v>
      </c>
      <c r="F101" s="287">
        <f>'HỢP ĐỒNG'!G110</f>
        <v>480</v>
      </c>
      <c r="G101" s="203">
        <f>'HỢP ĐỒNG'!I110</f>
        <v>39241099</v>
      </c>
      <c r="H101" s="205">
        <f>'HỢP ĐỒNG'!I110</f>
        <v>39241099</v>
      </c>
    </row>
    <row r="102" spans="1:8" s="68" customFormat="1" ht="35.25" customHeight="1">
      <c r="A102" s="173">
        <f>'HỢP ĐỒNG'!A111</f>
        <v>93</v>
      </c>
      <c r="B102" s="174" t="str">
        <f>'INVOICE lam CO'!B107</f>
        <v>Gears</v>
      </c>
      <c r="C102" s="175" t="str">
        <f>'INVOICE lam CO'!D107</f>
        <v>PCE</v>
      </c>
      <c r="D102" s="284">
        <f>'INVOICE lam CO'!E107</f>
        <v>50</v>
      </c>
      <c r="E102" s="287">
        <f>'HỢP ĐỒNG'!F111</f>
        <v>15.83</v>
      </c>
      <c r="F102" s="287">
        <f>'HỢP ĐỒNG'!G111</f>
        <v>791.5</v>
      </c>
      <c r="G102" s="203">
        <f>'HỢP ĐỒNG'!I111</f>
        <v>84834090</v>
      </c>
      <c r="H102" s="205">
        <f>'HỢP ĐỒNG'!I111</f>
        <v>84834090</v>
      </c>
    </row>
    <row r="103" spans="1:8" s="68" customFormat="1" ht="35.25" customHeight="1">
      <c r="A103" s="173">
        <f>'HỢP ĐỒNG'!A112</f>
        <v>94</v>
      </c>
      <c r="B103" s="174" t="str">
        <f>'INVOICE lam CO'!B108</f>
        <v>Bag sealing die set</v>
      </c>
      <c r="C103" s="175" t="str">
        <f>'INVOICE lam CO'!D108</f>
        <v>SET</v>
      </c>
      <c r="D103" s="284">
        <f>'INVOICE lam CO'!E108</f>
        <v>3</v>
      </c>
      <c r="E103" s="287">
        <f>'HỢP ĐỒNG'!F112</f>
        <v>546.61</v>
      </c>
      <c r="F103" s="287">
        <f>'HỢP ĐỒNG'!G112</f>
        <v>1639.83</v>
      </c>
      <c r="G103" s="203">
        <f>'HỢP ĐỒNG'!I112</f>
        <v>84529099</v>
      </c>
      <c r="H103" s="205">
        <f>'HỢP ĐỒNG'!I112</f>
        <v>84529099</v>
      </c>
    </row>
    <row r="104" spans="1:8" s="68" customFormat="1" ht="35.25" customHeight="1">
      <c r="A104" s="173">
        <f>'HỢP ĐỒNG'!A113</f>
        <v>95</v>
      </c>
      <c r="B104" s="174" t="str">
        <f>'INVOICE lam CO'!B109</f>
        <v>Roller</v>
      </c>
      <c r="C104" s="175" t="str">
        <f>'INVOICE lam CO'!D109</f>
        <v>PCE</v>
      </c>
      <c r="D104" s="284">
        <f>'INVOICE lam CO'!E109</f>
        <v>10</v>
      </c>
      <c r="E104" s="287">
        <f>'HỢP ĐỒNG'!F113</f>
        <v>16.96</v>
      </c>
      <c r="F104" s="287">
        <f>'HỢP ĐỒNG'!G113</f>
        <v>169.60000000000002</v>
      </c>
      <c r="G104" s="203">
        <f>'HỢP ĐỒNG'!I113</f>
        <v>84529099</v>
      </c>
      <c r="H104" s="205">
        <f>'HỢP ĐỒNG'!I113</f>
        <v>84529099</v>
      </c>
    </row>
    <row r="105" spans="1:8" s="68" customFormat="1" ht="35.25" customHeight="1">
      <c r="A105" s="173">
        <f>'HỢP ĐỒNG'!A114</f>
        <v>96</v>
      </c>
      <c r="B105" s="174" t="str">
        <f>'INVOICE lam CO'!B110</f>
        <v>Artificial flower petals</v>
      </c>
      <c r="C105" s="175" t="str">
        <f>'INVOICE lam CO'!D110</f>
        <v>KGM</v>
      </c>
      <c r="D105" s="284">
        <f>'INVOICE lam CO'!E110</f>
        <v>100</v>
      </c>
      <c r="E105" s="287">
        <f>'HỢP ĐỒNG'!F114</f>
        <v>0.8</v>
      </c>
      <c r="F105" s="287">
        <f>'HỢP ĐỒNG'!G114</f>
        <v>80</v>
      </c>
      <c r="G105" s="203">
        <f>'HỢP ĐỒNG'!I114</f>
        <v>67021000</v>
      </c>
      <c r="H105" s="205">
        <f>'HỢP ĐỒNG'!I114</f>
        <v>67021000</v>
      </c>
    </row>
    <row r="106" spans="1:8" s="68" customFormat="1" ht="35.25" customHeight="1">
      <c r="A106" s="173">
        <f>'HỢP ĐỒNG'!A115</f>
        <v>97</v>
      </c>
      <c r="B106" s="174" t="str">
        <f>'INVOICE lam CO'!B111</f>
        <v>TV remote control</v>
      </c>
      <c r="C106" s="175" t="str">
        <f>'INVOICE lam CO'!D111</f>
        <v>PCE</v>
      </c>
      <c r="D106" s="284">
        <f>'INVOICE lam CO'!E111</f>
        <v>1900</v>
      </c>
      <c r="E106" s="287">
        <f>'HỢP ĐỒNG'!F115</f>
        <v>0.75</v>
      </c>
      <c r="F106" s="287">
        <f>'HỢP ĐỒNG'!G115</f>
        <v>1425</v>
      </c>
      <c r="G106" s="203">
        <f>'HỢP ĐỒNG'!I115</f>
        <v>85437029</v>
      </c>
      <c r="H106" s="205">
        <f>'HỢP ĐỒNG'!I115</f>
        <v>85437029</v>
      </c>
    </row>
    <row r="107" spans="1:8" s="68" customFormat="1" ht="35.25" customHeight="1">
      <c r="A107" s="173">
        <f>'HỢP ĐỒNG'!A116</f>
        <v>98</v>
      </c>
      <c r="B107" s="174" t="str">
        <f>'INVOICE lam CO'!B112</f>
        <v>TV remote control</v>
      </c>
      <c r="C107" s="175" t="str">
        <f>'INVOICE lam CO'!D112</f>
        <v>PCE</v>
      </c>
      <c r="D107" s="284">
        <f>'INVOICE lam CO'!E112</f>
        <v>6800</v>
      </c>
      <c r="E107" s="287">
        <f>'HỢP ĐỒNG'!F116</f>
        <v>0.34</v>
      </c>
      <c r="F107" s="287">
        <f>'HỢP ĐỒNG'!G116</f>
        <v>2312</v>
      </c>
      <c r="G107" s="203">
        <f>'HỢP ĐỒNG'!I116</f>
        <v>85437029</v>
      </c>
      <c r="H107" s="205">
        <f>'HỢP ĐỒNG'!I116</f>
        <v>85437029</v>
      </c>
    </row>
    <row r="108" spans="1:8" s="68" customFormat="1" ht="35.25" customHeight="1">
      <c r="A108" s="173">
        <f>'HỢP ĐỒNG'!A117</f>
        <v>99</v>
      </c>
      <c r="B108" s="174" t="str">
        <f>'INVOICE lam CO'!B113</f>
        <v>Air conditioner remote control</v>
      </c>
      <c r="C108" s="175" t="str">
        <f>'INVOICE lam CO'!D113</f>
        <v>PCE</v>
      </c>
      <c r="D108" s="284">
        <f>'INVOICE lam CO'!E113</f>
        <v>3450</v>
      </c>
      <c r="E108" s="287">
        <f>'HỢP ĐỒNG'!F117</f>
        <v>0.56999999999999995</v>
      </c>
      <c r="F108" s="287">
        <f>'HỢP ĐỒNG'!G117</f>
        <v>1966.4999999999998</v>
      </c>
      <c r="G108" s="203">
        <f>'HỢP ĐỒNG'!I117</f>
        <v>85437029</v>
      </c>
      <c r="H108" s="205">
        <f>'HỢP ĐỒNG'!I117</f>
        <v>85437029</v>
      </c>
    </row>
    <row r="109" spans="1:8" s="68" customFormat="1" ht="35.25" customHeight="1">
      <c r="A109" s="173">
        <f>'HỢP ĐỒNG'!A118</f>
        <v>100</v>
      </c>
      <c r="B109" s="174" t="str">
        <f>'INVOICE lam CO'!B114</f>
        <v>Concrete cutter</v>
      </c>
      <c r="C109" s="175" t="str">
        <f>'INVOICE lam CO'!D114</f>
        <v>PCE</v>
      </c>
      <c r="D109" s="284">
        <f>'INVOICE lam CO'!E114</f>
        <v>16</v>
      </c>
      <c r="E109" s="287">
        <f>'HỢP ĐỒNG'!F118</f>
        <v>30.16</v>
      </c>
      <c r="F109" s="287">
        <f>'HỢP ĐỒNG'!G118</f>
        <v>482.56</v>
      </c>
      <c r="G109" s="203">
        <f>'HỢP ĐỒNG'!I118</f>
        <v>84672900</v>
      </c>
      <c r="H109" s="205">
        <f>'HỢP ĐỒNG'!I118</f>
        <v>84672900</v>
      </c>
    </row>
    <row r="110" spans="1:8" s="68" customFormat="1" ht="35.25" customHeight="1">
      <c r="A110" s="173">
        <f>'HỢP ĐỒNG'!A119</f>
        <v>101</v>
      </c>
      <c r="B110" s="174" t="str">
        <f>'INVOICE lam CO'!B115</f>
        <v>Aquarium lighting lamp</v>
      </c>
      <c r="C110" s="175" t="str">
        <f>'INVOICE lam CO'!D115</f>
        <v>PCE</v>
      </c>
      <c r="D110" s="284">
        <f>'INVOICE lam CO'!E115</f>
        <v>120</v>
      </c>
      <c r="E110" s="287">
        <f>'HỢP ĐỒNG'!F119</f>
        <v>2.0699999999999998</v>
      </c>
      <c r="F110" s="287">
        <f>'HỢP ĐỒNG'!G119</f>
        <v>248.39999999999998</v>
      </c>
      <c r="G110" s="203">
        <f>'HỢP ĐỒNG'!I119</f>
        <v>94054290</v>
      </c>
      <c r="H110" s="205">
        <f>'HỢP ĐỒNG'!I119</f>
        <v>94054290</v>
      </c>
    </row>
    <row r="111" spans="1:8" s="68" customFormat="1" ht="35.25" customHeight="1">
      <c r="A111" s="173">
        <f>'HỢP ĐỒNG'!A120</f>
        <v>102</v>
      </c>
      <c r="B111" s="174" t="str">
        <f>'INVOICE lam CO'!B116</f>
        <v>Aquarium lighting lamp</v>
      </c>
      <c r="C111" s="175" t="str">
        <f>'INVOICE lam CO'!D116</f>
        <v>PCE</v>
      </c>
      <c r="D111" s="284">
        <f>'INVOICE lam CO'!E116</f>
        <v>160</v>
      </c>
      <c r="E111" s="287">
        <f>'HỢP ĐỒNG'!F120</f>
        <v>2.2599999999999998</v>
      </c>
      <c r="F111" s="287">
        <f>'HỢP ĐỒNG'!G120</f>
        <v>361.59999999999997</v>
      </c>
      <c r="G111" s="203">
        <f>'HỢP ĐỒNG'!I120</f>
        <v>94054290</v>
      </c>
      <c r="H111" s="205">
        <f>'HỢP ĐỒNG'!I120</f>
        <v>94054290</v>
      </c>
    </row>
    <row r="112" spans="1:8" s="68" customFormat="1" ht="35.25" customHeight="1">
      <c r="A112" s="173">
        <f>'HỢP ĐỒNG'!A121</f>
        <v>103</v>
      </c>
      <c r="B112" s="174" t="str">
        <f>'INVOICE lam CO'!B117</f>
        <v>Aquarium lighting lamp</v>
      </c>
      <c r="C112" s="175" t="str">
        <f>'INVOICE lam CO'!D117</f>
        <v>PCE</v>
      </c>
      <c r="D112" s="284">
        <f>'INVOICE lam CO'!E117</f>
        <v>200</v>
      </c>
      <c r="E112" s="331">
        <f>'HỢP ĐỒNG'!F121</f>
        <v>2.4500000000000002</v>
      </c>
      <c r="F112" s="287">
        <f>'HỢP ĐỒNG'!G121</f>
        <v>490.00000000000006</v>
      </c>
      <c r="G112" s="203">
        <f>'HỢP ĐỒNG'!I121</f>
        <v>94054290</v>
      </c>
      <c r="H112" s="205">
        <f>'HỢP ĐỒNG'!I121</f>
        <v>94054290</v>
      </c>
    </row>
    <row r="113" spans="1:8" s="68" customFormat="1" ht="35.25" customHeight="1">
      <c r="A113" s="173">
        <f>'HỢP ĐỒNG'!A122</f>
        <v>104</v>
      </c>
      <c r="B113" s="174" t="str">
        <f>'INVOICE lam CO'!B118</f>
        <v>Aquarium lighting lamp</v>
      </c>
      <c r="C113" s="175" t="str">
        <f>'INVOICE lam CO'!D118</f>
        <v>PCE</v>
      </c>
      <c r="D113" s="284">
        <f>'INVOICE lam CO'!E118</f>
        <v>600</v>
      </c>
      <c r="E113" s="287">
        <f>'HỢP ĐỒNG'!F122</f>
        <v>2.64</v>
      </c>
      <c r="F113" s="287">
        <f>'HỢP ĐỒNG'!G122</f>
        <v>1584</v>
      </c>
      <c r="G113" s="203">
        <f>'HỢP ĐỒNG'!I122</f>
        <v>94054290</v>
      </c>
      <c r="H113" s="205">
        <f>'HỢP ĐỒNG'!I122</f>
        <v>94054290</v>
      </c>
    </row>
    <row r="114" spans="1:8" s="68" customFormat="1" ht="35.25" customHeight="1">
      <c r="A114" s="173">
        <f>'HỢP ĐỒNG'!A123</f>
        <v>105</v>
      </c>
      <c r="B114" s="174" t="str">
        <f>'INVOICE lam CO'!B119</f>
        <v>Aquarium lighting lamp</v>
      </c>
      <c r="C114" s="175" t="str">
        <f>'INVOICE lam CO'!D119</f>
        <v>PCE</v>
      </c>
      <c r="D114" s="284">
        <f>'INVOICE lam CO'!E119</f>
        <v>800</v>
      </c>
      <c r="E114" s="287">
        <f>'HỢP ĐỒNG'!F123</f>
        <v>2.83</v>
      </c>
      <c r="F114" s="287">
        <f>'HỢP ĐỒNG'!G123</f>
        <v>2264</v>
      </c>
      <c r="G114" s="203">
        <f>'HỢP ĐỒNG'!I123</f>
        <v>94054290</v>
      </c>
      <c r="H114" s="205">
        <f>'HỢP ĐỒNG'!I123</f>
        <v>94054290</v>
      </c>
    </row>
    <row r="115" spans="1:8" s="68" customFormat="1" ht="35.25" customHeight="1">
      <c r="A115" s="173">
        <f>'HỢP ĐỒNG'!A124</f>
        <v>106</v>
      </c>
      <c r="B115" s="174" t="str">
        <f>'INVOICE lam CO'!B120</f>
        <v>Aquarium lighting lamp</v>
      </c>
      <c r="C115" s="175" t="str">
        <f>'INVOICE lam CO'!D120</f>
        <v>PCE</v>
      </c>
      <c r="D115" s="284">
        <f>'INVOICE lam CO'!E120</f>
        <v>600</v>
      </c>
      <c r="E115" s="287">
        <f>'HỢP ĐỒNG'!F124</f>
        <v>3.02</v>
      </c>
      <c r="F115" s="287">
        <f>'HỢP ĐỒNG'!G124</f>
        <v>1812</v>
      </c>
      <c r="G115" s="203">
        <f>'HỢP ĐỒNG'!I124</f>
        <v>94054290</v>
      </c>
      <c r="H115" s="205">
        <f>'HỢP ĐỒNG'!I124</f>
        <v>94054290</v>
      </c>
    </row>
    <row r="116" spans="1:8" s="68" customFormat="1" ht="35.25" customHeight="1">
      <c r="A116" s="173">
        <f>'HỢP ĐỒNG'!A125</f>
        <v>107</v>
      </c>
      <c r="B116" s="174" t="str">
        <f>'INVOICE lam CO'!B121</f>
        <v>Aquarium lighting lamp</v>
      </c>
      <c r="C116" s="175" t="str">
        <f>'INVOICE lam CO'!D121</f>
        <v>PCE</v>
      </c>
      <c r="D116" s="284">
        <f>'INVOICE lam CO'!E121</f>
        <v>400</v>
      </c>
      <c r="E116" s="287">
        <f>'HỢP ĐỒNG'!F125</f>
        <v>3.2</v>
      </c>
      <c r="F116" s="287">
        <f>'HỢP ĐỒNG'!G125</f>
        <v>1280</v>
      </c>
      <c r="G116" s="203">
        <f>'HỢP ĐỒNG'!I125</f>
        <v>94054290</v>
      </c>
      <c r="H116" s="205">
        <f>'HỢP ĐỒNG'!I125</f>
        <v>94054290</v>
      </c>
    </row>
    <row r="117" spans="1:8" s="68" customFormat="1" ht="35.25" customHeight="1">
      <c r="A117" s="173">
        <f>'HỢP ĐỒNG'!A126</f>
        <v>108</v>
      </c>
      <c r="B117" s="174" t="str">
        <f>'INVOICE lam CO'!B122</f>
        <v>Aquarium lighting lamp</v>
      </c>
      <c r="C117" s="175" t="str">
        <f>'INVOICE lam CO'!D122</f>
        <v>PCE</v>
      </c>
      <c r="D117" s="284">
        <f>'INVOICE lam CO'!E122</f>
        <v>250</v>
      </c>
      <c r="E117" s="287">
        <f>'HỢP ĐỒNG'!F126</f>
        <v>2.2599999999999998</v>
      </c>
      <c r="F117" s="287">
        <f>'HỢP ĐỒNG'!G126</f>
        <v>565</v>
      </c>
      <c r="G117" s="203">
        <f>'HỢP ĐỒNG'!I126</f>
        <v>94054290</v>
      </c>
      <c r="H117" s="205">
        <f>'HỢP ĐỒNG'!I126</f>
        <v>94054290</v>
      </c>
    </row>
    <row r="118" spans="1:8" s="68" customFormat="1" ht="35.25" customHeight="1">
      <c r="A118" s="173">
        <f>'HỢP ĐỒNG'!A127</f>
        <v>109</v>
      </c>
      <c r="B118" s="174" t="str">
        <f>'INVOICE lam CO'!B123</f>
        <v>Aquarium lighting lamp</v>
      </c>
      <c r="C118" s="175" t="str">
        <f>'INVOICE lam CO'!D123</f>
        <v>PCE</v>
      </c>
      <c r="D118" s="284">
        <f>'INVOICE lam CO'!E123</f>
        <v>250</v>
      </c>
      <c r="E118" s="287">
        <f>'HỢP ĐỒNG'!F127</f>
        <v>2.64</v>
      </c>
      <c r="F118" s="287">
        <f>'HỢP ĐỒNG'!G127</f>
        <v>660</v>
      </c>
      <c r="G118" s="203">
        <f>'HỢP ĐỒNG'!I127</f>
        <v>94054290</v>
      </c>
      <c r="H118" s="205">
        <f>'HỢP ĐỒNG'!I127</f>
        <v>94054290</v>
      </c>
    </row>
    <row r="119" spans="1:8" s="68" customFormat="1" ht="35.25" customHeight="1">
      <c r="A119" s="173">
        <f>'HỢP ĐỒNG'!A128</f>
        <v>110</v>
      </c>
      <c r="B119" s="174" t="str">
        <f>'INVOICE lam CO'!B124</f>
        <v>Aquarium lighting lamp</v>
      </c>
      <c r="C119" s="175" t="str">
        <f>'INVOICE lam CO'!D124</f>
        <v>PCE</v>
      </c>
      <c r="D119" s="284">
        <f>'INVOICE lam CO'!E124</f>
        <v>250</v>
      </c>
      <c r="E119" s="287">
        <f>'HỢP ĐỒNG'!F128</f>
        <v>3.02</v>
      </c>
      <c r="F119" s="287">
        <f>'HỢP ĐỒNG'!G128</f>
        <v>755</v>
      </c>
      <c r="G119" s="203">
        <f>'HỢP ĐỒNG'!I128</f>
        <v>94054290</v>
      </c>
      <c r="H119" s="205">
        <f>'HỢP ĐỒNG'!I128</f>
        <v>94054290</v>
      </c>
    </row>
    <row r="120" spans="1:8" s="68" customFormat="1" ht="35.25" customHeight="1">
      <c r="A120" s="173">
        <f>'HỢP ĐỒNG'!A129</f>
        <v>111</v>
      </c>
      <c r="B120" s="174" t="str">
        <f>'INVOICE lam CO'!B125</f>
        <v>Aquarium lighting lamp</v>
      </c>
      <c r="C120" s="175" t="str">
        <f>'INVOICE lam CO'!D125</f>
        <v>PCE</v>
      </c>
      <c r="D120" s="284">
        <f>'INVOICE lam CO'!E125</f>
        <v>250</v>
      </c>
      <c r="E120" s="287">
        <f>'HỢP ĐỒNG'!F129</f>
        <v>3.39</v>
      </c>
      <c r="F120" s="287">
        <f>'HỢP ĐỒNG'!G129</f>
        <v>847.5</v>
      </c>
      <c r="G120" s="203">
        <f>'HỢP ĐỒNG'!I129</f>
        <v>94054290</v>
      </c>
      <c r="H120" s="205">
        <f>'HỢP ĐỒNG'!I129</f>
        <v>94054290</v>
      </c>
    </row>
    <row r="121" spans="1:8" s="68" customFormat="1" ht="35.25" customHeight="1">
      <c r="A121" s="173">
        <f>'HỢP ĐỒNG'!A130</f>
        <v>112</v>
      </c>
      <c r="B121" s="174" t="str">
        <f>'INVOICE lam CO'!B126</f>
        <v>Aquarium lighting lamp</v>
      </c>
      <c r="C121" s="175" t="str">
        <f>'INVOICE lam CO'!D126</f>
        <v>PCE</v>
      </c>
      <c r="D121" s="284">
        <f>'INVOICE lam CO'!E126</f>
        <v>2000</v>
      </c>
      <c r="E121" s="287">
        <f>'HỢP ĐỒNG'!F130</f>
        <v>2.0699999999999998</v>
      </c>
      <c r="F121" s="287">
        <f>'HỢP ĐỒNG'!G130</f>
        <v>4140</v>
      </c>
      <c r="G121" s="203">
        <f>'HỢP ĐỒNG'!I130</f>
        <v>94054290</v>
      </c>
      <c r="H121" s="205">
        <f>'HỢP ĐỒNG'!I130</f>
        <v>94054290</v>
      </c>
    </row>
    <row r="122" spans="1:8" s="68" customFormat="1" ht="35.25" customHeight="1">
      <c r="A122" s="173">
        <f>'HỢP ĐỒNG'!A131</f>
        <v>113</v>
      </c>
      <c r="B122" s="174" t="str">
        <f>'INVOICE lam CO'!B127</f>
        <v>Aquarium lighting lamp</v>
      </c>
      <c r="C122" s="175" t="str">
        <f>'INVOICE lam CO'!D127</f>
        <v>PCE</v>
      </c>
      <c r="D122" s="284">
        <f>'INVOICE lam CO'!E127</f>
        <v>300</v>
      </c>
      <c r="E122" s="287">
        <f>'HỢP ĐỒNG'!F131</f>
        <v>2.64</v>
      </c>
      <c r="F122" s="287">
        <f>'HỢP ĐỒNG'!G131</f>
        <v>792</v>
      </c>
      <c r="G122" s="203">
        <f>'HỢP ĐỒNG'!I131</f>
        <v>94054290</v>
      </c>
      <c r="H122" s="205">
        <f>'HỢP ĐỒNG'!I131</f>
        <v>94054290</v>
      </c>
    </row>
    <row r="123" spans="1:8" s="68" customFormat="1" ht="35.25" customHeight="1">
      <c r="A123" s="173">
        <f>'HỢP ĐỒNG'!A132</f>
        <v>114</v>
      </c>
      <c r="B123" s="174" t="str">
        <f>'INVOICE lam CO'!B128</f>
        <v>Aquarium lighting lamp</v>
      </c>
      <c r="C123" s="175" t="str">
        <f>'INVOICE lam CO'!D128</f>
        <v>PCE</v>
      </c>
      <c r="D123" s="284">
        <f>'INVOICE lam CO'!E128</f>
        <v>250</v>
      </c>
      <c r="E123" s="287">
        <f>'HỢP ĐỒNG'!F132</f>
        <v>3.39</v>
      </c>
      <c r="F123" s="287">
        <f>'HỢP ĐỒNG'!G132</f>
        <v>847.5</v>
      </c>
      <c r="G123" s="203">
        <f>'HỢP ĐỒNG'!I132</f>
        <v>94054290</v>
      </c>
      <c r="H123" s="205">
        <f>'HỢP ĐỒNG'!I132</f>
        <v>94054290</v>
      </c>
    </row>
    <row r="124" spans="1:8" s="68" customFormat="1" ht="35.25" customHeight="1">
      <c r="A124" s="173">
        <f>'HỢP ĐỒNG'!A133</f>
        <v>115</v>
      </c>
      <c r="B124" s="174" t="str">
        <f>'INVOICE lam CO'!B129</f>
        <v>Aquarium lighting lamp</v>
      </c>
      <c r="C124" s="175" t="str">
        <f>'INVOICE lam CO'!D129</f>
        <v>PCE</v>
      </c>
      <c r="D124" s="284">
        <f>'INVOICE lam CO'!E129</f>
        <v>400</v>
      </c>
      <c r="E124" s="287">
        <f>'HỢP ĐỒNG'!F133</f>
        <v>4.9000000000000004</v>
      </c>
      <c r="F124" s="287">
        <f>'HỢP ĐỒNG'!G133</f>
        <v>1960.0000000000002</v>
      </c>
      <c r="G124" s="203">
        <f>'HỢP ĐỒNG'!I133</f>
        <v>94054290</v>
      </c>
      <c r="H124" s="205">
        <f>'HỢP ĐỒNG'!I133</f>
        <v>94054290</v>
      </c>
    </row>
    <row r="125" spans="1:8" s="68" customFormat="1" ht="35.25" customHeight="1">
      <c r="A125" s="173">
        <f>'HỢP ĐỒNG'!A134</f>
        <v>116</v>
      </c>
      <c r="B125" s="174" t="str">
        <f>'INVOICE lam CO'!B130</f>
        <v>Folding paper box</v>
      </c>
      <c r="C125" s="175" t="str">
        <f>'INVOICE lam CO'!D130</f>
        <v>KGM</v>
      </c>
      <c r="D125" s="284">
        <f>'INVOICE lam CO'!E130</f>
        <v>400</v>
      </c>
      <c r="E125" s="287">
        <f>'HỢP ĐỒNG'!F134</f>
        <v>0.8</v>
      </c>
      <c r="F125" s="287">
        <f>'HỢP ĐỒNG'!G134</f>
        <v>320</v>
      </c>
      <c r="G125" s="203">
        <f>'HỢP ĐỒNG'!I134</f>
        <v>48192000</v>
      </c>
      <c r="H125" s="205">
        <f>'HỢP ĐỒNG'!I134</f>
        <v>48192000</v>
      </c>
    </row>
    <row r="126" spans="1:8" s="68" customFormat="1" ht="35.25" customHeight="1">
      <c r="A126" s="173">
        <f>'HỢP ĐỒNG'!A135</f>
        <v>117</v>
      </c>
      <c r="B126" s="174" t="str">
        <f>'INVOICE lam CO'!B131</f>
        <v>Plastic tray</v>
      </c>
      <c r="C126" s="175" t="str">
        <f>'INVOICE lam CO'!D131</f>
        <v>KGM</v>
      </c>
      <c r="D126" s="284">
        <f>'INVOICE lam CO'!E131</f>
        <v>100</v>
      </c>
      <c r="E126" s="287">
        <f>'HỢP ĐỒNG'!F135</f>
        <v>1.3</v>
      </c>
      <c r="F126" s="287">
        <f>'HỢP ĐỒNG'!G135</f>
        <v>130</v>
      </c>
      <c r="G126" s="203">
        <f>'HỢP ĐỒNG'!I135</f>
        <v>39239090</v>
      </c>
      <c r="H126" s="205">
        <f>'HỢP ĐỒNG'!I135</f>
        <v>39239090</v>
      </c>
    </row>
    <row r="127" spans="1:8" s="68" customFormat="1" ht="35.25" customHeight="1">
      <c r="A127" s="173">
        <f>'HỢP ĐỒNG'!A136</f>
        <v>118</v>
      </c>
      <c r="B127" s="174" t="str">
        <f>'INVOICE lam CO'!B132</f>
        <v>Boots</v>
      </c>
      <c r="C127" s="175" t="str">
        <f>'INVOICE lam CO'!D132</f>
        <v>PR</v>
      </c>
      <c r="D127" s="284">
        <f>'INVOICE lam CO'!E132</f>
        <v>200</v>
      </c>
      <c r="E127" s="287">
        <f>'HỢP ĐỒNG'!F136</f>
        <v>1.1299999999999999</v>
      </c>
      <c r="F127" s="287">
        <f>'HỢP ĐỒNG'!G136</f>
        <v>225.99999999999997</v>
      </c>
      <c r="G127" s="203">
        <f>'HỢP ĐỒNG'!I136</f>
        <v>64029199</v>
      </c>
      <c r="H127" s="205">
        <f>'HỢP ĐỒNG'!I136</f>
        <v>64029199</v>
      </c>
    </row>
    <row r="128" spans="1:8" s="68" customFormat="1" ht="35.25" customHeight="1">
      <c r="A128" s="173">
        <f>'HỢP ĐỒNG'!A137</f>
        <v>119</v>
      </c>
      <c r="B128" s="174" t="str">
        <f>'INVOICE lam CO'!B133</f>
        <v>Termite bait station</v>
      </c>
      <c r="C128" s="175" t="str">
        <f>'INVOICE lam CO'!D133</f>
        <v>SET</v>
      </c>
      <c r="D128" s="284">
        <f>'INVOICE lam CO'!E133</f>
        <v>500</v>
      </c>
      <c r="E128" s="287">
        <f>'HỢP ĐỒNG'!F137</f>
        <v>0.89</v>
      </c>
      <c r="F128" s="287">
        <f>'HỢP ĐỒNG'!G137</f>
        <v>445</v>
      </c>
      <c r="G128" s="203">
        <f>'HỢP ĐỒNG'!I137</f>
        <v>39269099</v>
      </c>
      <c r="H128" s="205">
        <f>'HỢP ĐỒNG'!I137</f>
        <v>39269099</v>
      </c>
    </row>
    <row r="129" spans="1:8" s="68" customFormat="1" ht="35.25" customHeight="1">
      <c r="A129" s="173">
        <f>'HỢP ĐỒNG'!A138</f>
        <v>120</v>
      </c>
      <c r="B129" s="174" t="str">
        <f>'INVOICE lam CO'!B134</f>
        <v>Hanger roller</v>
      </c>
      <c r="C129" s="175" t="str">
        <f>'INVOICE lam CO'!D134</f>
        <v>PCE</v>
      </c>
      <c r="D129" s="284">
        <f>'INVOICE lam CO'!E134</f>
        <v>200</v>
      </c>
      <c r="E129" s="287">
        <f>'HỢP ĐỒNG'!F138</f>
        <v>1.39</v>
      </c>
      <c r="F129" s="287">
        <f>'HỢP ĐỒNG'!G138</f>
        <v>278</v>
      </c>
      <c r="G129" s="203">
        <f>'HỢP ĐỒNG'!I138</f>
        <v>84313120</v>
      </c>
      <c r="H129" s="205">
        <f>'HỢP ĐỒNG'!I138</f>
        <v>84313120</v>
      </c>
    </row>
    <row r="130" spans="1:8" s="68" customFormat="1" ht="35.25" customHeight="1">
      <c r="A130" s="173">
        <f>'HỢP ĐỒNG'!A139</f>
        <v>121</v>
      </c>
      <c r="B130" s="174" t="str">
        <f>'INVOICE lam CO'!B135</f>
        <v>Hanger roller</v>
      </c>
      <c r="C130" s="175" t="str">
        <f>'INVOICE lam CO'!D135</f>
        <v>PCE</v>
      </c>
      <c r="D130" s="284">
        <f>'INVOICE lam CO'!E135</f>
        <v>150</v>
      </c>
      <c r="E130" s="287">
        <f>'HỢP ĐỒNG'!F139</f>
        <v>2.0699999999999998</v>
      </c>
      <c r="F130" s="287">
        <f>'HỢP ĐỒNG'!G139</f>
        <v>310.5</v>
      </c>
      <c r="G130" s="203">
        <f>'HỢP ĐỒNG'!I139</f>
        <v>84313120</v>
      </c>
      <c r="H130" s="205">
        <f>'HỢP ĐỒNG'!I139</f>
        <v>84313120</v>
      </c>
    </row>
    <row r="131" spans="1:8" s="68" customFormat="1" ht="35.25" customHeight="1">
      <c r="A131" s="173">
        <f>'HỢP ĐỒNG'!A140</f>
        <v>122</v>
      </c>
      <c r="B131" s="174" t="str">
        <f>'INVOICE lam CO'!B136</f>
        <v>Artificial tulip</v>
      </c>
      <c r="C131" s="175" t="str">
        <f>'INVOICE lam CO'!D136</f>
        <v>PCE</v>
      </c>
      <c r="D131" s="284">
        <f>'INVOICE lam CO'!E136</f>
        <v>10000</v>
      </c>
      <c r="E131" s="287">
        <f>'HỢP ĐỒNG'!F140</f>
        <v>7.4999999999999997E-2</v>
      </c>
      <c r="F131" s="287">
        <f>'HỢP ĐỒNG'!G140</f>
        <v>750</v>
      </c>
      <c r="G131" s="203">
        <f>'HỢP ĐỒNG'!I140</f>
        <v>67029090</v>
      </c>
      <c r="H131" s="205">
        <f>'HỢP ĐỒNG'!I140</f>
        <v>67029090</v>
      </c>
    </row>
    <row r="132" spans="1:8" s="68" customFormat="1" ht="35.25" customHeight="1">
      <c r="A132" s="173">
        <f>'HỢP ĐỒNG'!A141</f>
        <v>123</v>
      </c>
      <c r="B132" s="174" t="str">
        <f>'INVOICE lam CO'!B137</f>
        <v>Flower wrapping paper</v>
      </c>
      <c r="C132" s="175" t="str">
        <f>'INVOICE lam CO'!D137</f>
        <v>KGM</v>
      </c>
      <c r="D132" s="284">
        <f>'INVOICE lam CO'!E137</f>
        <v>398</v>
      </c>
      <c r="E132" s="287">
        <f>'HỢP ĐỒNG'!F141</f>
        <v>0.8</v>
      </c>
      <c r="F132" s="287">
        <f>'HỢP ĐỒNG'!G141</f>
        <v>318.40000000000003</v>
      </c>
      <c r="G132" s="205"/>
      <c r="H132" s="205"/>
    </row>
    <row r="133" spans="1:8" s="68" customFormat="1" ht="35.25" customHeight="1">
      <c r="A133" s="173">
        <f>'HỢP ĐỒNG'!A142</f>
        <v>124</v>
      </c>
      <c r="B133" s="174" t="str">
        <f>'INVOICE lam CO'!B138</f>
        <v>Paint spraying machine</v>
      </c>
      <c r="C133" s="175" t="str">
        <f>'INVOICE lam CO'!D138</f>
        <v>PCE</v>
      </c>
      <c r="D133" s="284">
        <f>'INVOICE lam CO'!E138</f>
        <v>2</v>
      </c>
      <c r="E133" s="287">
        <f>'HỢP ĐỒNG'!F142</f>
        <v>1884.87</v>
      </c>
      <c r="F133" s="287">
        <f>'HỢP ĐỒNG'!G142</f>
        <v>3769.74</v>
      </c>
      <c r="G133" s="205"/>
      <c r="H133" s="205"/>
    </row>
    <row r="134" spans="1:8" s="68" customFormat="1" ht="35.25" customHeight="1">
      <c r="A134" s="176"/>
      <c r="B134" s="197" t="s">
        <v>162</v>
      </c>
      <c r="C134" s="176"/>
      <c r="D134" s="177"/>
      <c r="E134" s="177"/>
      <c r="F134" s="344">
        <f>SUM(F10:F133)</f>
        <v>193171.09</v>
      </c>
    </row>
    <row r="135" spans="1:8" s="68" customFormat="1" ht="18" customHeight="1">
      <c r="B135" s="411"/>
      <c r="C135" s="411"/>
      <c r="D135" s="411"/>
      <c r="E135" s="411"/>
      <c r="F135" s="411"/>
    </row>
    <row r="136" spans="1:8" s="70" customFormat="1" ht="11.25">
      <c r="B136" s="198"/>
      <c r="D136" s="71"/>
    </row>
    <row r="137" spans="1:8" ht="33" customHeight="1">
      <c r="A137" s="65"/>
      <c r="B137" s="406" t="s">
        <v>184</v>
      </c>
      <c r="C137" s="406"/>
      <c r="D137" s="406"/>
      <c r="E137" s="406"/>
    </row>
    <row r="138" spans="1:8">
      <c r="B138" s="106" t="s">
        <v>159</v>
      </c>
      <c r="D138" s="64"/>
    </row>
    <row r="139" spans="1:8" s="10" customFormat="1">
      <c r="B139" s="106" t="s">
        <v>160</v>
      </c>
      <c r="D139" s="64"/>
    </row>
    <row r="140" spans="1:8" s="10" customFormat="1">
      <c r="B140" s="106" t="s">
        <v>161</v>
      </c>
      <c r="D140" s="64"/>
    </row>
  </sheetData>
  <mergeCells count="9">
    <mergeCell ref="B137:E137"/>
    <mergeCell ref="A1:G1"/>
    <mergeCell ref="A2:G2"/>
    <mergeCell ref="A3:F3"/>
    <mergeCell ref="H3:J3"/>
    <mergeCell ref="E4:F4"/>
    <mergeCell ref="E5:F5"/>
    <mergeCell ref="A8:F8"/>
    <mergeCell ref="B135:F135"/>
  </mergeCells>
  <pageMargins left="0.3" right="0.25" top="0.65" bottom="0.65" header="0.15748031496063" footer="0.23622047244094499"/>
  <pageSetup paperSize="9" scale="99"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3354A-A566-4E1C-AEB8-4B1559DCB75D}">
  <sheetPr codeName="Sheet3">
    <tabColor indexed="13"/>
  </sheetPr>
  <dimension ref="A1:L141"/>
  <sheetViews>
    <sheetView view="pageBreakPreview" topLeftCell="A26" zoomScale="106" zoomScaleNormal="100" zoomScaleSheetLayoutView="106" workbookViewId="0">
      <selection activeCell="G135" sqref="G135"/>
    </sheetView>
  </sheetViews>
  <sheetFormatPr defaultRowHeight="15.75"/>
  <cols>
    <col min="1" max="1" width="4.7109375" style="8" customWidth="1"/>
    <col min="2" max="2" width="12.28515625" style="12" customWidth="1"/>
    <col min="3" max="3" width="41.28515625" style="12" customWidth="1"/>
    <col min="4" max="4" width="8.28515625" style="8" customWidth="1"/>
    <col min="5" max="5" width="15" style="8" customWidth="1"/>
    <col min="6" max="6" width="13" style="332" customWidth="1"/>
    <col min="7" max="7" width="15.28515625" style="8" customWidth="1"/>
    <col min="8" max="8" width="0" style="8" hidden="1" customWidth="1"/>
    <col min="9" max="9" width="12" style="8" customWidth="1"/>
    <col min="10" max="10" width="11.85546875" style="8" bestFit="1" customWidth="1"/>
    <col min="11" max="11" width="11" style="8" bestFit="1" customWidth="1"/>
    <col min="12" max="16384" width="9.140625" style="8"/>
  </cols>
  <sheetData>
    <row r="1" spans="1:12" s="225" customFormat="1" ht="17.45" customHeight="1">
      <c r="A1" s="410" t="s">
        <v>147</v>
      </c>
      <c r="B1" s="410"/>
      <c r="C1" s="410"/>
      <c r="D1" s="410"/>
      <c r="E1" s="410"/>
      <c r="F1" s="410"/>
      <c r="G1" s="410"/>
      <c r="H1" s="410"/>
      <c r="I1" s="410"/>
    </row>
    <row r="2" spans="1:12" s="225" customFormat="1" ht="36.4" customHeight="1">
      <c r="A2" s="408" t="s">
        <v>148</v>
      </c>
      <c r="B2" s="408"/>
      <c r="C2" s="408"/>
      <c r="D2" s="408"/>
      <c r="E2" s="408"/>
      <c r="F2" s="408"/>
      <c r="G2" s="408"/>
      <c r="H2" s="408"/>
      <c r="I2" s="408"/>
      <c r="J2" s="226"/>
      <c r="K2" s="226"/>
      <c r="L2" s="226"/>
    </row>
    <row r="3" spans="1:12" s="225" customFormat="1" ht="42" customHeight="1">
      <c r="A3" s="409" t="s">
        <v>63</v>
      </c>
      <c r="B3" s="409"/>
      <c r="C3" s="409"/>
      <c r="D3" s="409"/>
      <c r="E3" s="409"/>
      <c r="F3" s="409"/>
      <c r="G3" s="409"/>
      <c r="H3" s="409"/>
      <c r="I3" s="409"/>
      <c r="J3" s="405" t="s">
        <v>64</v>
      </c>
      <c r="K3" s="405"/>
      <c r="L3" s="405"/>
    </row>
    <row r="4" spans="1:12" ht="16.5" customHeight="1">
      <c r="A4" s="114"/>
      <c r="B4" s="195"/>
      <c r="C4" s="195"/>
      <c r="D4" s="115"/>
      <c r="E4" s="116" t="s">
        <v>65</v>
      </c>
      <c r="F4" s="413" t="str">
        <f>K4&amp;"GF-TH/26"</f>
        <v>0902
GF-TH/26</v>
      </c>
      <c r="G4" s="413"/>
      <c r="H4" s="117"/>
      <c r="I4" s="308" t="s">
        <v>66</v>
      </c>
      <c r="J4" s="204" t="s">
        <v>66</v>
      </c>
      <c r="K4" s="118" t="str">
        <f>'HỢP ĐỒNG'!$I$1</f>
        <v xml:space="preserve">0902
</v>
      </c>
      <c r="L4" s="119" t="str">
        <f>K4&amp;"GF-TH/26"</f>
        <v>0902
GF-TH/26</v>
      </c>
    </row>
    <row r="5" spans="1:12" ht="16.5" customHeight="1">
      <c r="A5" s="114"/>
      <c r="B5" s="195"/>
      <c r="C5" s="195"/>
      <c r="D5" s="115"/>
      <c r="E5" s="116" t="s">
        <v>67</v>
      </c>
      <c r="F5" s="412">
        <f>'HỢP ĐỒNG'!I2+1</f>
        <v>46271</v>
      </c>
      <c r="G5" s="412"/>
      <c r="H5" s="117"/>
      <c r="I5" s="308" t="s">
        <v>68</v>
      </c>
      <c r="J5" s="204" t="s">
        <v>68</v>
      </c>
      <c r="K5" s="120">
        <f>'HỢP ĐỒNG'!I2</f>
        <v>46270</v>
      </c>
      <c r="L5" s="119"/>
    </row>
    <row r="6" spans="1:12" ht="16.5" customHeight="1">
      <c r="A6" s="10" t="s">
        <v>177</v>
      </c>
      <c r="B6" s="288"/>
      <c r="H6" s="99"/>
      <c r="I6" s="99"/>
    </row>
    <row r="7" spans="1:12" s="148" customFormat="1" ht="16.5" customHeight="1">
      <c r="A7" s="148" t="s">
        <v>178</v>
      </c>
      <c r="B7" s="196"/>
      <c r="C7" s="196"/>
      <c r="F7" s="333"/>
      <c r="H7" s="149"/>
      <c r="I7" s="150"/>
    </row>
    <row r="8" spans="1:12" s="148" customFormat="1" ht="16.5" customHeight="1">
      <c r="A8" s="407" t="s">
        <v>172</v>
      </c>
      <c r="B8" s="407"/>
      <c r="C8" s="407"/>
      <c r="D8" s="407"/>
      <c r="E8" s="407"/>
      <c r="F8" s="407"/>
      <c r="G8" s="407"/>
    </row>
    <row r="9" spans="1:12" ht="9" customHeight="1">
      <c r="A9" s="414"/>
      <c r="B9" s="414"/>
      <c r="C9" s="414"/>
      <c r="D9" s="414"/>
      <c r="E9" s="414"/>
      <c r="F9" s="414"/>
      <c r="G9" s="414"/>
    </row>
    <row r="10" spans="1:12" s="68" customFormat="1" ht="37.5" customHeight="1" thickBot="1">
      <c r="A10" s="170" t="s">
        <v>6</v>
      </c>
      <c r="B10" s="171" t="s">
        <v>168</v>
      </c>
      <c r="C10" s="171" t="s">
        <v>29</v>
      </c>
      <c r="D10" s="170" t="s">
        <v>30</v>
      </c>
      <c r="E10" s="171" t="s">
        <v>4</v>
      </c>
      <c r="F10" s="334" t="s">
        <v>31</v>
      </c>
      <c r="G10" s="172" t="s">
        <v>32</v>
      </c>
      <c r="H10" s="176" t="s">
        <v>124</v>
      </c>
    </row>
    <row r="11" spans="1:12" ht="104.25" customHeight="1" thickBot="1">
      <c r="A11" s="310">
        <f>'HỢP ĐỒNG'!A19</f>
        <v>1</v>
      </c>
      <c r="B11" s="311" t="str">
        <f>'INVOICE lam CO'!B15</f>
        <v>Dusting cloth</v>
      </c>
      <c r="C11" s="312" t="str">
        <f>'HỢP ĐỒNG'!C19</f>
        <v>Khăn lau bụi dùng để lau xe hơi, chất liệu vải dệt kim từ sợi polyester, KT:(30*30)cm, không hiệu, NSX: Qingdao Tao Hui Industrial. Mới 100%</v>
      </c>
      <c r="D11" s="309" t="str">
        <f>'HỢP ĐỒNG'!D19</f>
        <v>PCE</v>
      </c>
      <c r="E11" s="313">
        <f>'HỢP ĐỒNG'!E19</f>
        <v>20000</v>
      </c>
      <c r="F11" s="314">
        <f>'HỢP ĐỒNG'!F19</f>
        <v>9.4E-2</v>
      </c>
      <c r="G11" s="313">
        <f>'HỢP ĐỒNG'!G19</f>
        <v>1880</v>
      </c>
      <c r="H11" s="315">
        <f>'HỢP ĐỒNG'!I19</f>
        <v>63071090</v>
      </c>
      <c r="I11" s="316">
        <f>'HỢP ĐỒNG'!I19</f>
        <v>63071090</v>
      </c>
      <c r="J11" s="339"/>
      <c r="K11" s="343"/>
    </row>
    <row r="12" spans="1:12" ht="104.25" customHeight="1" thickBot="1">
      <c r="A12" s="310">
        <f>'HỢP ĐỒNG'!A20</f>
        <v>2</v>
      </c>
      <c r="B12" s="311" t="str">
        <f>'INVOICE lam CO'!B16</f>
        <v>Tea set</v>
      </c>
      <c r="C12" s="312" t="str">
        <f>'HỢP ĐỒNG'!C20</f>
        <v>Bộ ấm chén pha trà bằng gốm đất nung tráng men rạn Nhữ Diêu,gồm ấm trà dung tích 250ml,chén khải 190ml và chén uống trà 50ml, đóng hộp quà tặng, không hiệu. NSX: Shenzhen Tao Hui Industrial. Mới 100%</v>
      </c>
      <c r="D12" s="309" t="str">
        <f>'HỢP ĐỒNG'!D20</f>
        <v>SET</v>
      </c>
      <c r="E12" s="313">
        <f>'HỢP ĐỒNG'!E20</f>
        <v>20</v>
      </c>
      <c r="F12" s="314">
        <f>'HỢP ĐỒNG'!F20</f>
        <v>5.16</v>
      </c>
      <c r="G12" s="313">
        <f>'HỢP ĐỒNG'!G20</f>
        <v>103.2</v>
      </c>
      <c r="H12" s="315">
        <f>'HỢP ĐỒNG'!I20</f>
        <v>69120000</v>
      </c>
      <c r="I12" s="316">
        <f>'HỢP ĐỒNG'!I20</f>
        <v>69120000</v>
      </c>
      <c r="J12" s="340"/>
      <c r="K12" s="343"/>
    </row>
    <row r="13" spans="1:12" ht="104.25" customHeight="1" thickBot="1">
      <c r="A13" s="310">
        <f>'HỢP ĐỒNG'!A21</f>
        <v>3</v>
      </c>
      <c r="B13" s="311" t="str">
        <f>'INVOICE lam CO'!B17</f>
        <v>Tea set</v>
      </c>
      <c r="C13" s="312" t="str">
        <f>'HỢP ĐỒNG'!C21</f>
        <v>Bộ ấm chén pha trà du lịch bằng gốm đất nung tráng men trắng, dáng Tây Thi họa tiết Núi Non, gồm ấm trà dung tích 270ml, tống trà 150ml, chén trà 50ml,đóng hộp quà tặng, không hiệu, Mới 100%</v>
      </c>
      <c r="D13" s="309" t="str">
        <f>'HỢP ĐỒNG'!D21</f>
        <v>SET</v>
      </c>
      <c r="E13" s="313">
        <f>'HỢP ĐỒNG'!E21</f>
        <v>20</v>
      </c>
      <c r="F13" s="314">
        <f>'HỢP ĐỒNG'!F21</f>
        <v>4.09</v>
      </c>
      <c r="G13" s="313">
        <f>'HỢP ĐỒNG'!G21</f>
        <v>81.8</v>
      </c>
      <c r="H13" s="315">
        <f>'HỢP ĐỒNG'!I21</f>
        <v>69120000</v>
      </c>
      <c r="I13" s="316">
        <f>'HỢP ĐỒNG'!I21</f>
        <v>69120000</v>
      </c>
      <c r="J13" s="340"/>
      <c r="K13" s="343"/>
    </row>
    <row r="14" spans="1:12" ht="104.25" customHeight="1" thickBot="1">
      <c r="A14" s="310">
        <f>'HỢP ĐỒNG'!A22</f>
        <v>4</v>
      </c>
      <c r="B14" s="311" t="str">
        <f>'INVOICE lam CO'!B18</f>
        <v>Tea set</v>
      </c>
      <c r="C14" s="312" t="str">
        <f>'HỢP ĐỒNG'!C22</f>
        <v>Bộ ấm chén trà bằng gốm đất nung, kiểu dáng Nhật gồm 1 ấm 200ml và 4 chén 60ml kèm hộp quà tặng, không hiệu, NSX: Shenzhen Tao Hui Industrial Co., Ltd., Mới 100%</v>
      </c>
      <c r="D14" s="309" t="str">
        <f>'HỢP ĐỒNG'!D22</f>
        <v>SET</v>
      </c>
      <c r="E14" s="313">
        <f>'HỢP ĐỒNG'!E22</f>
        <v>50</v>
      </c>
      <c r="F14" s="314">
        <f>'HỢP ĐỒNG'!F22</f>
        <v>5.69</v>
      </c>
      <c r="G14" s="313">
        <f>'HỢP ĐỒNG'!G22</f>
        <v>284.5</v>
      </c>
      <c r="H14" s="315">
        <f>'HỢP ĐỒNG'!I22</f>
        <v>69120000</v>
      </c>
      <c r="I14" s="316">
        <f>'HỢP ĐỒNG'!I22</f>
        <v>69120000</v>
      </c>
      <c r="J14" s="341"/>
      <c r="K14" s="343"/>
    </row>
    <row r="15" spans="1:12" ht="104.25" customHeight="1" thickBot="1">
      <c r="A15" s="310">
        <f>'HỢP ĐỒNG'!A23</f>
        <v>5</v>
      </c>
      <c r="B15" s="311" t="str">
        <f>'INVOICE lam CO'!B19</f>
        <v>Teapot</v>
      </c>
      <c r="C15" s="312" t="str">
        <f>'HỢP ĐỒNG'!C23</f>
        <v>Ấm pha trà bằng gốm đất nung không tráng men (Tử Sa) dáng Hán Ngõa, màu xanh Lục Nê, dung tích 240ml, không dùng điện, không hiệu, NSX: Shenzhen Tao Hui Industrial Co., Ltd., Mới 100%</v>
      </c>
      <c r="D15" s="309" t="str">
        <f>'HỢP ĐỒNG'!D23</f>
        <v>PCE</v>
      </c>
      <c r="E15" s="313">
        <f>'HỢP ĐỒNG'!E23</f>
        <v>10</v>
      </c>
      <c r="F15" s="314">
        <f>'HỢP ĐỒNG'!F23</f>
        <v>13.6</v>
      </c>
      <c r="G15" s="313">
        <f>'HỢP ĐỒNG'!G23</f>
        <v>136</v>
      </c>
      <c r="H15" s="315">
        <f>'HỢP ĐỒNG'!I23</f>
        <v>69120000</v>
      </c>
      <c r="I15" s="316">
        <f>'HỢP ĐỒNG'!I23</f>
        <v>69120000</v>
      </c>
      <c r="J15" s="341"/>
      <c r="K15" s="343"/>
    </row>
    <row r="16" spans="1:12" ht="104.25" customHeight="1" thickBot="1">
      <c r="A16" s="310">
        <f>'HỢP ĐỒNG'!A24</f>
        <v>6</v>
      </c>
      <c r="B16" s="311" t="str">
        <f>'INVOICE lam CO'!B20</f>
        <v>Teapot</v>
      </c>
      <c r="C16" s="312" t="str">
        <f>'HỢP ĐỒNG'!C24</f>
        <v>Ấm pha trà bằng gốm đất nung không tráng men (Tử Sa) dáng Tây Thi, màu đỏ Đại Hồng Bào, dung tích 240ml, không dùng điện, không hiệu, NSX: Shenzhen Tao Hui Industrial Co., Ltd., Mới 100%</v>
      </c>
      <c r="D16" s="309" t="str">
        <f>'HỢP ĐỒNG'!D24</f>
        <v>PCE</v>
      </c>
      <c r="E16" s="313">
        <f>'HỢP ĐỒNG'!E24</f>
        <v>15</v>
      </c>
      <c r="F16" s="314">
        <f>'HỢP ĐỒNG'!F24</f>
        <v>10.46</v>
      </c>
      <c r="G16" s="313">
        <f>'HỢP ĐỒNG'!G24</f>
        <v>156.9</v>
      </c>
      <c r="H16" s="315">
        <f>'HỢP ĐỒNG'!I24</f>
        <v>69120000</v>
      </c>
      <c r="I16" s="316">
        <f>'HỢP ĐỒNG'!I24</f>
        <v>69120000</v>
      </c>
      <c r="J16" s="341"/>
      <c r="K16" s="343"/>
    </row>
    <row r="17" spans="1:11" ht="104.25" customHeight="1" thickBot="1">
      <c r="A17" s="310">
        <f>'HỢP ĐỒNG'!A25</f>
        <v>7</v>
      </c>
      <c r="B17" s="311" t="str">
        <f>'INVOICE lam CO'!B21</f>
        <v>Tea cup</v>
      </c>
      <c r="C17" s="312" t="str">
        <f>'HỢP ĐỒNG'!C25</f>
        <v>Cốc uống trà bằng gốm đất nung không tráng men (Tử Sa) họa tiết Thiên Hương, dung tích 180ml, không hiệu, NSX: Shenzhen Tao Hui Industrial Co., Ltd., Mới 100%</v>
      </c>
      <c r="D17" s="309" t="str">
        <f>'HỢP ĐỒNG'!D25</f>
        <v>PCE</v>
      </c>
      <c r="E17" s="313">
        <f>'HỢP ĐỒNG'!E25</f>
        <v>20</v>
      </c>
      <c r="F17" s="314">
        <f>'HỢP ĐỒNG'!F25</f>
        <v>4.49</v>
      </c>
      <c r="G17" s="313">
        <f>'HỢP ĐỒNG'!G25</f>
        <v>89.800000000000011</v>
      </c>
      <c r="H17" s="315">
        <f>'HỢP ĐỒNG'!I25</f>
        <v>69120000</v>
      </c>
      <c r="I17" s="316">
        <f>'HỢP ĐỒNG'!I25</f>
        <v>69120000</v>
      </c>
      <c r="J17" s="341"/>
      <c r="K17" s="343"/>
    </row>
    <row r="18" spans="1:11" ht="104.25" customHeight="1" thickBot="1">
      <c r="A18" s="310">
        <f>'HỢP ĐỒNG'!A26</f>
        <v>8</v>
      </c>
      <c r="B18" s="311" t="str">
        <f>'INVOICE lam CO'!B22</f>
        <v>Teapot</v>
      </c>
      <c r="C18" s="312" t="str">
        <f>'HỢP ĐỒNG'!C26</f>
        <v>Ấm pha trà bằng gốm đất nung không tráng men (Tử Sa) dáng Bát Phương Nung Củi, màu vàng Đoạn Nê, dung tích 270ml, không dùng điện, không hiệu, NSX: Shenzhen Tao Hui Industrial Co., Ltd., Mới 100%</v>
      </c>
      <c r="D18" s="309" t="str">
        <f>'HỢP ĐỒNG'!D26</f>
        <v>PCE</v>
      </c>
      <c r="E18" s="313">
        <f>'HỢP ĐỒNG'!E26</f>
        <v>10</v>
      </c>
      <c r="F18" s="314">
        <f>'HỢP ĐỒNG'!F26</f>
        <v>16.739999999999998</v>
      </c>
      <c r="G18" s="313">
        <f>'HỢP ĐỒNG'!G26</f>
        <v>167.39999999999998</v>
      </c>
      <c r="H18" s="315">
        <f>'HỢP ĐỒNG'!I26</f>
        <v>69120000</v>
      </c>
      <c r="I18" s="316">
        <f>'HỢP ĐỒNG'!I26</f>
        <v>69120000</v>
      </c>
      <c r="J18" s="341"/>
      <c r="K18" s="343"/>
    </row>
    <row r="19" spans="1:11" ht="104.25" customHeight="1" thickBot="1">
      <c r="A19" s="310">
        <f>'HỢP ĐỒNG'!A27</f>
        <v>9</v>
      </c>
      <c r="B19" s="311" t="str">
        <f>'INVOICE lam CO'!B23</f>
        <v>Teapot</v>
      </c>
      <c r="C19" s="312" t="str">
        <f>'HỢP ĐỒNG'!C27</f>
        <v>Ấm pha trà bằng gốm đất nung không tráng men (Tử Sa) dáng Thạch Biều, màu xanh Lục Nê, dung tích 260ml, không dùng điện, không hiệu, NSX: Shenzhen Tao Hui Industrial Co., Ltd., Mới 100%</v>
      </c>
      <c r="D19" s="309" t="str">
        <f>'HỢP ĐỒNG'!D27</f>
        <v>PCE</v>
      </c>
      <c r="E19" s="313">
        <f>'HỢP ĐỒNG'!E27</f>
        <v>5</v>
      </c>
      <c r="F19" s="314">
        <f>'HỢP ĐỒNG'!F27</f>
        <v>15.69</v>
      </c>
      <c r="G19" s="313">
        <f>'HỢP ĐỒNG'!G27</f>
        <v>78.45</v>
      </c>
      <c r="H19" s="315">
        <f>'HỢP ĐỒNG'!I27</f>
        <v>69120000</v>
      </c>
      <c r="I19" s="316">
        <f>'HỢP ĐỒNG'!I27</f>
        <v>69120000</v>
      </c>
      <c r="J19" s="341"/>
      <c r="K19" s="343"/>
    </row>
    <row r="20" spans="1:11" ht="104.25" customHeight="1" thickBot="1">
      <c r="A20" s="310">
        <f>'HỢP ĐỒNG'!A28</f>
        <v>10</v>
      </c>
      <c r="B20" s="311" t="str">
        <f>'INVOICE lam CO'!B24</f>
        <v>Teapot</v>
      </c>
      <c r="C20" s="312" t="str">
        <f>'HỢP ĐỒNG'!C28</f>
        <v>Ấm pha trà bằng gốm đất nung không tráng men (Tử Sa) dáng Vân Lư, màu nâu Thiết Huyết Hồng Sa, dung tích 260ml, không dùng điện, không hiệu, NSX: Shenzhen Tao Hui Industrial Co., Ltd., Mới 100%</v>
      </c>
      <c r="D20" s="309" t="str">
        <f>'HỢP ĐỒNG'!D28</f>
        <v>PCE</v>
      </c>
      <c r="E20" s="313">
        <f>'HỢP ĐỒNG'!E28</f>
        <v>10</v>
      </c>
      <c r="F20" s="314">
        <f>'HỢP ĐỒNG'!F28</f>
        <v>17.09</v>
      </c>
      <c r="G20" s="313">
        <f>'HỢP ĐỒNG'!G28</f>
        <v>170.9</v>
      </c>
      <c r="H20" s="315">
        <f>'HỢP ĐỒNG'!I28</f>
        <v>69120000</v>
      </c>
      <c r="I20" s="316">
        <f>'HỢP ĐỒNG'!I28</f>
        <v>69120000</v>
      </c>
      <c r="J20" s="341"/>
      <c r="K20" s="343"/>
    </row>
    <row r="21" spans="1:11" ht="104.25" customHeight="1" thickBot="1">
      <c r="A21" s="310">
        <f>'HỢP ĐỒNG'!A29</f>
        <v>11</v>
      </c>
      <c r="B21" s="311" t="str">
        <f>'INVOICE lam CO'!B25</f>
        <v>Teapot</v>
      </c>
      <c r="C21" s="312" t="str">
        <f>'HỢP ĐỒNG'!C29</f>
        <v>Ấm pha trà bằng gốm đất nung không tráng men (Tử Sa) dáng Tứ Phương Liên Hoa dung tích 230ml, không dùng điện, không hiệu, NSX: Shenzhen Tao Hui Industrial Co., Ltd., Mới 100%</v>
      </c>
      <c r="D21" s="309" t="str">
        <f>'HỢP ĐỒNG'!D29</f>
        <v>PCE</v>
      </c>
      <c r="E21" s="313">
        <f>'HỢP ĐỒNG'!E29</f>
        <v>10</v>
      </c>
      <c r="F21" s="314">
        <f>'HỢP ĐỒNG'!F29</f>
        <v>14.47</v>
      </c>
      <c r="G21" s="313">
        <f>'HỢP ĐỒNG'!G29</f>
        <v>144.70000000000002</v>
      </c>
      <c r="H21" s="315">
        <f>'HỢP ĐỒNG'!I29</f>
        <v>69120000</v>
      </c>
      <c r="I21" s="316">
        <f>'HỢP ĐỒNG'!I29</f>
        <v>69120000</v>
      </c>
      <c r="J21" s="340"/>
      <c r="K21" s="343"/>
    </row>
    <row r="22" spans="1:11" ht="104.25" customHeight="1" thickBot="1">
      <c r="A22" s="310">
        <f>'HỢP ĐỒNG'!A30</f>
        <v>12</v>
      </c>
      <c r="B22" s="311" t="str">
        <f>'INVOICE lam CO'!B26</f>
        <v>Teapot</v>
      </c>
      <c r="C22" s="312" t="str">
        <f>'HỢP ĐỒNG'!C30</f>
        <v>Ấm pha trà bằng gốm đất nung không tráng men (Tử Sa) dáng Long Đán, màu nâu Tử Nê, dung tích 220ml, không dùng điện, không hiệu, NSX: Shenzhen Tao Hui Industrial Co., Ltd., Mới 100%</v>
      </c>
      <c r="D22" s="309" t="str">
        <f>'HỢP ĐỒNG'!D30</f>
        <v>PCE</v>
      </c>
      <c r="E22" s="313">
        <f>'HỢP ĐỒNG'!E30</f>
        <v>3</v>
      </c>
      <c r="F22" s="314">
        <f>'HỢP ĐỒNG'!F30</f>
        <v>20.46</v>
      </c>
      <c r="G22" s="313">
        <f>'HỢP ĐỒNG'!G30</f>
        <v>61.38</v>
      </c>
      <c r="H22" s="315">
        <f>'HỢP ĐỒNG'!I30</f>
        <v>69120000</v>
      </c>
      <c r="I22" s="316">
        <f>'HỢP ĐỒNG'!I30</f>
        <v>69120000</v>
      </c>
      <c r="J22" s="341"/>
      <c r="K22" s="343"/>
    </row>
    <row r="23" spans="1:11" ht="104.25" customHeight="1" thickBot="1">
      <c r="A23" s="310">
        <f>'HỢP ĐỒNG'!A31</f>
        <v>13</v>
      </c>
      <c r="B23" s="311" t="str">
        <f>'INVOICE lam CO'!B27</f>
        <v>Teapot</v>
      </c>
      <c r="C23" s="312" t="str">
        <f>'HỢP ĐỒNG'!C31</f>
        <v>Ấm pha trà bằng gốm đất nung không tráng men (Tử Sa) dáng Phan Hồ, màu đỏ Đại Hồng Bào, dung tích 250ml, không dùng điện, không hiệu, NSX: Shenzhen Tao Hui Industrial Co., Ltd., Mới 100%</v>
      </c>
      <c r="D23" s="309" t="str">
        <f>'HỢP ĐỒNG'!D31</f>
        <v>PCE</v>
      </c>
      <c r="E23" s="313">
        <f>'HỢP ĐỒNG'!E31</f>
        <v>3</v>
      </c>
      <c r="F23" s="314">
        <f>'HỢP ĐỒNG'!F31</f>
        <v>28.47</v>
      </c>
      <c r="G23" s="313">
        <f>'HỢP ĐỒNG'!G31</f>
        <v>85.41</v>
      </c>
      <c r="H23" s="315">
        <f>'HỢP ĐỒNG'!I31</f>
        <v>69120000</v>
      </c>
      <c r="I23" s="316">
        <f>'HỢP ĐỒNG'!I31</f>
        <v>69120000</v>
      </c>
      <c r="J23" s="341"/>
      <c r="K23" s="343"/>
    </row>
    <row r="24" spans="1:11" ht="104.25" customHeight="1" thickBot="1">
      <c r="A24" s="310">
        <f>'HỢP ĐỒNG'!A32</f>
        <v>14</v>
      </c>
      <c r="B24" s="311" t="str">
        <f>'INVOICE lam CO'!B28</f>
        <v>Teapot</v>
      </c>
      <c r="C24" s="312" t="str">
        <f>'HỢP ĐỒNG'!C32</f>
        <v>Ấm pha trà bằng gốm đất nung không tráng men (Tử Sa) dáng Tây Thi, dung tích 420ml, không dùng điện, không hiệu, NSX: Shenzhen Tao Hui Industrial Co., Ltd., Mới 100%</v>
      </c>
      <c r="D24" s="309" t="str">
        <f>'HỢP ĐỒNG'!D32</f>
        <v>PCE</v>
      </c>
      <c r="E24" s="313">
        <f>'HỢP ĐỒNG'!E32</f>
        <v>5</v>
      </c>
      <c r="F24" s="314">
        <f>'HỢP ĐỒNG'!F32</f>
        <v>39.15</v>
      </c>
      <c r="G24" s="313">
        <f>'HỢP ĐỒNG'!G32</f>
        <v>195.75</v>
      </c>
      <c r="H24" s="315">
        <f>'HỢP ĐỒNG'!I32</f>
        <v>69120000</v>
      </c>
      <c r="I24" s="316">
        <f>'HỢP ĐỒNG'!I32</f>
        <v>69120000</v>
      </c>
      <c r="J24" s="341"/>
      <c r="K24" s="343"/>
    </row>
    <row r="25" spans="1:11" ht="104.25" customHeight="1" thickBot="1">
      <c r="A25" s="310">
        <f>'HỢP ĐỒNG'!A33</f>
        <v>15</v>
      </c>
      <c r="B25" s="311" t="str">
        <f>'INVOICE lam CO'!B29</f>
        <v>Teapot tray</v>
      </c>
      <c r="C25" s="312" t="str">
        <f>'HỢP ĐỒNG'!C33</f>
        <v>Khay để ấm trà (Thuyền Trà) bằng gốm đất nung không tráng men (Tử Sa) đường kính 19.5cm, họa tiết Sơn Cảnh, đóng hộp quà tặng, không hiệu, NSX: Shenzhen Tao Hui Industrial Co., Ltd., Mới 100%</v>
      </c>
      <c r="D25" s="309" t="str">
        <f>'HỢP ĐỒNG'!D33</f>
        <v>PCE</v>
      </c>
      <c r="E25" s="313">
        <f>'HỢP ĐỒNG'!E33</f>
        <v>5</v>
      </c>
      <c r="F25" s="314">
        <f>'HỢP ĐỒNG'!F33</f>
        <v>26.69</v>
      </c>
      <c r="G25" s="313">
        <f>'HỢP ĐỒNG'!G33</f>
        <v>133.45000000000002</v>
      </c>
      <c r="H25" s="315">
        <f>'HỢP ĐỒNG'!I33</f>
        <v>69120000</v>
      </c>
      <c r="I25" s="316">
        <f>'HỢP ĐỒNG'!I33</f>
        <v>69120000</v>
      </c>
      <c r="J25" s="341"/>
      <c r="K25" s="343"/>
    </row>
    <row r="26" spans="1:11" ht="104.25" customHeight="1" thickBot="1">
      <c r="A26" s="310">
        <f>'HỢP ĐỒNG'!A34</f>
        <v>16</v>
      </c>
      <c r="B26" s="311" t="str">
        <f>'INVOICE lam CO'!B30</f>
        <v>Tea rinse bowl</v>
      </c>
      <c r="C26" s="312" t="str">
        <f>'HỢP ĐỒNG'!C34</f>
        <v>Ang trà ( bát tráng trà) bằng gốm đất nung không tráng men (Tử Sa), màu cam Chu Nê, họa tiết Tâm Kinh đường kính 27.8cm, không hiệu, NSX: Shenzhen Tao Hui Industrial Co., Ltd., Mới 100%</v>
      </c>
      <c r="D26" s="309" t="str">
        <f>'HỢP ĐỒNG'!D34</f>
        <v>PCE</v>
      </c>
      <c r="E26" s="313">
        <f>'HỢP ĐỒNG'!E34</f>
        <v>5</v>
      </c>
      <c r="F26" s="314">
        <f>'HỢP ĐỒNG'!F34</f>
        <v>24.02</v>
      </c>
      <c r="G26" s="313">
        <f>'HỢP ĐỒNG'!G34</f>
        <v>120.1</v>
      </c>
      <c r="H26" s="315">
        <f>'HỢP ĐỒNG'!I34</f>
        <v>69120000</v>
      </c>
      <c r="I26" s="316">
        <f>'HỢP ĐỒNG'!I34</f>
        <v>69120000</v>
      </c>
      <c r="J26" s="341"/>
      <c r="K26" s="343"/>
    </row>
    <row r="27" spans="1:11" ht="104.25" customHeight="1" thickBot="1">
      <c r="A27" s="310">
        <f>'HỢP ĐỒNG'!A35</f>
        <v>17</v>
      </c>
      <c r="B27" s="311" t="str">
        <f>'INVOICE lam CO'!B31</f>
        <v>Teapot</v>
      </c>
      <c r="C27" s="312" t="str">
        <f>'HỢP ĐỒNG'!C35</f>
        <v>Ấm pha trà bằng gốm đất nung không tráng men (Tử Sa) dáng Thạch Biều Cảnh Chu, màu nâu Tử Nê, dung tích 230ml, không dùng điện, không hiệu, NSX: Shenzhen Tao Hui Industrial Co., Ltd., Mới 100%</v>
      </c>
      <c r="D27" s="309" t="str">
        <f>'HỢP ĐỒNG'!D35</f>
        <v>PCE</v>
      </c>
      <c r="E27" s="313">
        <f>'HỢP ĐỒNG'!E35</f>
        <v>5</v>
      </c>
      <c r="F27" s="314">
        <f>'HỢP ĐỒNG'!F35</f>
        <v>53.38</v>
      </c>
      <c r="G27" s="313">
        <f>'HỢP ĐỒNG'!G35</f>
        <v>266.90000000000003</v>
      </c>
      <c r="H27" s="315">
        <f>'HỢP ĐỒNG'!I35</f>
        <v>69120000</v>
      </c>
      <c r="I27" s="316">
        <f>'HỢP ĐỒNG'!I35</f>
        <v>69120000</v>
      </c>
      <c r="J27" s="341"/>
      <c r="K27" s="343"/>
    </row>
    <row r="28" spans="1:11" ht="104.25" customHeight="1" thickBot="1">
      <c r="A28" s="310">
        <f>'HỢP ĐỒNG'!A36</f>
        <v>18</v>
      </c>
      <c r="B28" s="311" t="str">
        <f>'INVOICE lam CO'!B32</f>
        <v>Teapot</v>
      </c>
      <c r="C28" s="312" t="str">
        <f>'HỢP ĐỒNG'!C36</f>
        <v>Ấm pha trà bằng gốm đất nung không tráng men (Tử Sa) dáng Mỹ Nhân Kiên, màu đỏ Đại Hồng Bào, dung tích 190ml, không dùng điện, không hiệu, NSX: Shenzhen Tao Hui Industrial Co., Ltd., Mới 100%</v>
      </c>
      <c r="D28" s="309" t="str">
        <f>'HỢP ĐỒNG'!D36</f>
        <v>PCE</v>
      </c>
      <c r="E28" s="313">
        <f>'HỢP ĐỒNG'!E36</f>
        <v>5</v>
      </c>
      <c r="F28" s="314">
        <f>'HỢP ĐỒNG'!F36</f>
        <v>29.89</v>
      </c>
      <c r="G28" s="313">
        <f>'HỢP ĐỒNG'!G36</f>
        <v>149.44999999999999</v>
      </c>
      <c r="H28" s="315">
        <f>'HỢP ĐỒNG'!I36</f>
        <v>69120000</v>
      </c>
      <c r="I28" s="316">
        <f>'HỢP ĐỒNG'!I36</f>
        <v>69120000</v>
      </c>
      <c r="J28" s="341"/>
      <c r="K28" s="343"/>
    </row>
    <row r="29" spans="1:11" ht="104.25" customHeight="1" thickBot="1">
      <c r="A29" s="310">
        <f>'HỢP ĐỒNG'!A37</f>
        <v>19</v>
      </c>
      <c r="B29" s="311" t="str">
        <f>'INVOICE lam CO'!B33</f>
        <v>Teapot</v>
      </c>
      <c r="C29" s="312" t="str">
        <f>'HỢP ĐỒNG'!C37</f>
        <v>Ấm pha trà bằng gốm đất nung không tráng men (Tử Sa) dáng Tây Thi Song Sắc, dung tích 200ml, không dùng điện, không hiệu, NSX: Shenzhen Tao Hui Industrial Co., Ltd., Mới 100%</v>
      </c>
      <c r="D29" s="309" t="str">
        <f>'HỢP ĐỒNG'!D37</f>
        <v>PCE</v>
      </c>
      <c r="E29" s="313">
        <f>'HỢP ĐỒNG'!E37</f>
        <v>3</v>
      </c>
      <c r="F29" s="314">
        <f>'HỢP ĐỒNG'!F37</f>
        <v>32.03</v>
      </c>
      <c r="G29" s="313">
        <f>'HỢP ĐỒNG'!G37</f>
        <v>96.09</v>
      </c>
      <c r="H29" s="315">
        <f>'HỢP ĐỒNG'!I37</f>
        <v>69120000</v>
      </c>
      <c r="I29" s="316">
        <f>'HỢP ĐỒNG'!I37</f>
        <v>69120000</v>
      </c>
      <c r="J29" s="341"/>
      <c r="K29" s="343"/>
    </row>
    <row r="30" spans="1:11" ht="104.25" customHeight="1" thickBot="1">
      <c r="A30" s="310">
        <f>'HỢP ĐỒNG'!A38</f>
        <v>20</v>
      </c>
      <c r="B30" s="311" t="str">
        <f>'INVOICE lam CO'!B34</f>
        <v>Flow control switch</v>
      </c>
      <c r="C30" s="312" t="str">
        <f>'HỢP ĐỒNG'!C38</f>
        <v>Công tắc điều khiển dòng chảy, model: HFS-25, dùng cho công nghiệp đóng ngắt dòng điện 5A. KT: (10*7*5)cm+/-10%, đk: ren 1-3/4inch, đ/áp: 220V, hiệu: SUNSES, mới 100%</v>
      </c>
      <c r="D30" s="309" t="str">
        <f>'HỢP ĐỒNG'!D38</f>
        <v>PCE</v>
      </c>
      <c r="E30" s="313">
        <f>'HỢP ĐỒNG'!E38</f>
        <v>500</v>
      </c>
      <c r="F30" s="314">
        <f>'HỢP ĐỒNG'!F38</f>
        <v>5.47</v>
      </c>
      <c r="G30" s="313">
        <f>'HỢP ĐỒNG'!G38</f>
        <v>2735</v>
      </c>
      <c r="H30" s="315">
        <f>'HỢP ĐỒNG'!I38</f>
        <v>85365096</v>
      </c>
      <c r="I30" s="316">
        <f>'HỢP ĐỒNG'!I38</f>
        <v>85365096</v>
      </c>
      <c r="J30" s="341"/>
      <c r="K30" s="343"/>
    </row>
    <row r="31" spans="1:11" ht="104.25" customHeight="1" thickBot="1">
      <c r="A31" s="310">
        <f>'HỢP ĐỒNG'!A39</f>
        <v>21</v>
      </c>
      <c r="B31" s="311" t="str">
        <f>'INVOICE lam CO'!B35</f>
        <v>Flow control switch</v>
      </c>
      <c r="C31" s="312" t="str">
        <f>'HỢP ĐỒNG'!C39</f>
        <v>Công tắc áp suất khí nén KP, bằng nhựa kết hợp đồng, để điều chỉnh áp suất trong hệ thống khí nén, đ/áp: 220V/5A, không hiệu. NSX: Zhejiang Machinery Technology Co., LTD, mới 100%</v>
      </c>
      <c r="D31" s="309" t="str">
        <f>'HỢP ĐỒNG'!D39</f>
        <v>PCE</v>
      </c>
      <c r="E31" s="313">
        <f>'HỢP ĐỒNG'!E39</f>
        <v>300</v>
      </c>
      <c r="F31" s="314">
        <f>'HỢP ĐỒNG'!F39</f>
        <v>8.2899999999999991</v>
      </c>
      <c r="G31" s="313">
        <f>'HỢP ĐỒNG'!G39</f>
        <v>2486.9999999999995</v>
      </c>
      <c r="H31" s="315">
        <f>'HỢP ĐỒNG'!I39</f>
        <v>85365096</v>
      </c>
      <c r="I31" s="316">
        <f>'HỢP ĐỒNG'!I39</f>
        <v>85365096</v>
      </c>
      <c r="J31" s="341"/>
      <c r="K31" s="343"/>
    </row>
    <row r="32" spans="1:11" ht="104.25" customHeight="1" thickBot="1">
      <c r="A32" s="310">
        <f>'HỢP ĐỒNG'!A40</f>
        <v>22</v>
      </c>
      <c r="B32" s="311" t="str">
        <f>'INVOICE lam CO'!B36</f>
        <v>Pneumatic Manifold</v>
      </c>
      <c r="C32" s="312" t="str">
        <f>'HỢP ĐỒNG'!C40</f>
        <v>Đế chia khí dùng cho đường ống khí nén, bằng hợp kim nhôm, loại 3-5 cổng, ren 13mm, áp suất làm việc 1 MPa. KT: (15*5*2)cm+/-10%, không hiệu, nsx: NSX Aikes Pneumatic Components Co., Ltd, mới 100%</v>
      </c>
      <c r="D32" s="309" t="str">
        <f>'HỢP ĐỒNG'!D40</f>
        <v>PCE</v>
      </c>
      <c r="E32" s="313">
        <f>'HỢP ĐỒNG'!E40</f>
        <v>300</v>
      </c>
      <c r="F32" s="314">
        <f>'HỢP ĐỒNG'!F40</f>
        <v>4.49</v>
      </c>
      <c r="G32" s="313">
        <f>'HỢP ĐỒNG'!G40</f>
        <v>1347</v>
      </c>
      <c r="H32" s="315">
        <f>'HỢP ĐỒNG'!I40</f>
        <v>73269099</v>
      </c>
      <c r="I32" s="316">
        <f>'HỢP ĐỒNG'!I40</f>
        <v>73269099</v>
      </c>
      <c r="J32" s="341"/>
      <c r="K32" s="343"/>
    </row>
    <row r="33" spans="1:11" ht="104.25" customHeight="1" thickBot="1">
      <c r="A33" s="310">
        <f>'HỢP ĐỒNG'!A41</f>
        <v>23</v>
      </c>
      <c r="B33" s="311" t="str">
        <f>'INVOICE lam CO'!B37</f>
        <v>Pickleball racket</v>
      </c>
      <c r="C33" s="312" t="str">
        <f>'HỢP ĐỒNG'!C41</f>
        <v xml:space="preserve">Vợt pickleball, model: Bomba X, sử dụng công nghệ ép nóng, lõi eva foam, bề mặt bằng sợi carbon. KT: (40*20*3)cm+/-10%, hiệu: Do-An, mới 100%
</v>
      </c>
      <c r="D33" s="309" t="str">
        <f>'HỢP ĐỒNG'!D41</f>
        <v>PCE</v>
      </c>
      <c r="E33" s="313">
        <f>'HỢP ĐỒNG'!E41</f>
        <v>400</v>
      </c>
      <c r="F33" s="314">
        <f>'HỢP ĐỒNG'!F41</f>
        <v>9.24</v>
      </c>
      <c r="G33" s="313">
        <f>'HỢP ĐỒNG'!G41</f>
        <v>3696</v>
      </c>
      <c r="H33" s="315">
        <f>'HỢP ĐỒNG'!I41</f>
        <v>95069990</v>
      </c>
      <c r="I33" s="316">
        <f>'HỢP ĐỒNG'!I41</f>
        <v>95069990</v>
      </c>
      <c r="J33" s="341"/>
      <c r="K33" s="343"/>
    </row>
    <row r="34" spans="1:11" ht="104.25" customHeight="1" thickBot="1">
      <c r="A34" s="310">
        <f>'HỢP ĐỒNG'!A42</f>
        <v>24</v>
      </c>
      <c r="B34" s="311" t="str">
        <f>'INVOICE lam CO'!B38</f>
        <v>Pet bodice</v>
      </c>
      <c r="C34" s="312" t="str">
        <f>'HỢP ĐỒNG'!C42</f>
        <v>Yếm cho thú cưng, chất liệu vải dệt từ sợi tổng hợp. KT: (25*20*2)cm+/-10%, không hiệu. NSX: Ningbo Jia Chong International Trade Co., Ltd.., mới 100%</v>
      </c>
      <c r="D34" s="309" t="str">
        <f>'HỢP ĐỒNG'!D42</f>
        <v>PCE</v>
      </c>
      <c r="E34" s="313">
        <f>'HỢP ĐỒNG'!E42</f>
        <v>270</v>
      </c>
      <c r="F34" s="314">
        <f>'HỢP ĐỒNG'!F42</f>
        <v>0.92</v>
      </c>
      <c r="G34" s="313">
        <f>'HỢP ĐỒNG'!G42</f>
        <v>248.4</v>
      </c>
      <c r="H34" s="315">
        <f>'HỢP ĐỒNG'!I42</f>
        <v>42010000</v>
      </c>
      <c r="I34" s="316">
        <f>'HỢP ĐỒNG'!I42</f>
        <v>42010000</v>
      </c>
      <c r="J34" s="341"/>
      <c r="K34" s="343"/>
    </row>
    <row r="35" spans="1:11" ht="104.25" customHeight="1" thickBot="1">
      <c r="A35" s="310">
        <f>'HỢP ĐỒNG'!A43</f>
        <v>25</v>
      </c>
      <c r="B35" s="311" t="str">
        <f>'INVOICE lam CO'!B39</f>
        <v>Pet leash</v>
      </c>
      <c r="C35" s="312" t="str">
        <f>'HỢP ĐỒNG'!C43</f>
        <v>Dây dắt thú cưng, chất liệu vải dù. KT: 1.2cm*1.5m+/-10%, không hiệu. NSX: Ningbo Jia Chong International Trade Co., Ltd.., mới 100%</v>
      </c>
      <c r="D35" s="309" t="str">
        <f>'HỢP ĐỒNG'!D43</f>
        <v>PCE</v>
      </c>
      <c r="E35" s="313">
        <f>'HỢP ĐỒNG'!E43</f>
        <v>400</v>
      </c>
      <c r="F35" s="314">
        <f>'HỢP ĐỒNG'!F43</f>
        <v>0.71</v>
      </c>
      <c r="G35" s="313">
        <f>'HỢP ĐỒNG'!G43</f>
        <v>284</v>
      </c>
      <c r="H35" s="315">
        <f>'HỢP ĐỒNG'!I43</f>
        <v>42010000</v>
      </c>
      <c r="I35" s="316">
        <f>'HỢP ĐỒNG'!I43</f>
        <v>42010000</v>
      </c>
      <c r="J35" s="341"/>
      <c r="K35" s="343"/>
    </row>
    <row r="36" spans="1:11" ht="104.25" customHeight="1" thickBot="1">
      <c r="A36" s="310">
        <f>'HỢP ĐỒNG'!A44</f>
        <v>26</v>
      </c>
      <c r="B36" s="311" t="str">
        <f>'INVOICE lam CO'!B40</f>
        <v>Shower head holder</v>
      </c>
      <c r="C36" s="312" t="str">
        <f>'HỢP ĐỒNG'!C44</f>
        <v>Thanh giá treo của vòi hoa sen cây (gồm 2 thanh), chất liệu thép không gỉ, chống bám bẩn. KT: (1280*370)mm+/-10%, không hiệu,nsx: Jiangyin Yonghao Machinery Co., Ltd. Mới 100%</v>
      </c>
      <c r="D36" s="309" t="str">
        <f>'HỢP ĐỒNG'!D44</f>
        <v>SET</v>
      </c>
      <c r="E36" s="313">
        <f>'HỢP ĐỒNG'!E44</f>
        <v>1200</v>
      </c>
      <c r="F36" s="314">
        <f>'HỢP ĐỒNG'!F44</f>
        <v>5.28</v>
      </c>
      <c r="G36" s="313">
        <f>'HỢP ĐỒNG'!G44</f>
        <v>6336</v>
      </c>
      <c r="H36" s="315">
        <f>'HỢP ĐỒNG'!I44</f>
        <v>73249099</v>
      </c>
      <c r="I36" s="316">
        <f>'HỢP ĐỒNG'!I44</f>
        <v>73249099</v>
      </c>
      <c r="J36" s="341"/>
      <c r="K36" s="343"/>
    </row>
    <row r="37" spans="1:11" ht="104.25" customHeight="1" thickBot="1">
      <c r="A37" s="310">
        <f>'HỢP ĐỒNG'!A45</f>
        <v>27</v>
      </c>
      <c r="B37" s="311" t="str">
        <f>'INVOICE lam CO'!B41</f>
        <v>Trays</v>
      </c>
      <c r="C37" s="312" t="str">
        <f>'HỢP ĐỒNG'!C45</f>
        <v>Khay chữ nhật, kí hiệu: SL-170, dùng để trang trí, trưng bày trong khách sạn, chất liệu nhựa giả gỗ. KT: (29.7*21.5*6)cm+/-10%, không hiệu. Nsx: Shandong Machinery Co., Ltd. Mới 100%</v>
      </c>
      <c r="D37" s="309" t="str">
        <f>'HỢP ĐỒNG'!D45</f>
        <v>PCE</v>
      </c>
      <c r="E37" s="313">
        <f>'HỢP ĐỒNG'!E45</f>
        <v>48</v>
      </c>
      <c r="F37" s="314">
        <f>'HỢP ĐỒNG'!F45</f>
        <v>10.18</v>
      </c>
      <c r="G37" s="313">
        <f>'HỢP ĐỒNG'!G45</f>
        <v>488.64</v>
      </c>
      <c r="H37" s="315">
        <f>'HỢP ĐỒNG'!I45</f>
        <v>39264000</v>
      </c>
      <c r="I37" s="316">
        <f>'HỢP ĐỒNG'!I45</f>
        <v>39264000</v>
      </c>
      <c r="J37" s="341"/>
      <c r="K37" s="343"/>
    </row>
    <row r="38" spans="1:11" ht="104.25" customHeight="1" thickBot="1">
      <c r="A38" s="310">
        <f>'HỢP ĐỒNG'!A46</f>
        <v>28</v>
      </c>
      <c r="B38" s="311" t="str">
        <f>'INVOICE lam CO'!B42</f>
        <v>Trays</v>
      </c>
      <c r="C38" s="312" t="str">
        <f>'HỢP ĐỒNG'!C46</f>
        <v>Khay đựng đũa đặt trên bàn ăn dùng trong nhà bếp, không dùng đựng thực phẩm,chất liệu bằng nhựa ABS, kí hiệu: C-1222. KT: (27.3*10.5*6.5)cm+-10%, không hiệu. Nsx: Shandong Machinery Co., Ltd. Mới 100%</v>
      </c>
      <c r="D38" s="309" t="str">
        <f>'HỢP ĐỒNG'!D46</f>
        <v>PCE</v>
      </c>
      <c r="E38" s="313">
        <f>'HỢP ĐỒNG'!E46</f>
        <v>150</v>
      </c>
      <c r="F38" s="314">
        <f>'HỢP ĐỒNG'!F46</f>
        <v>4.17</v>
      </c>
      <c r="G38" s="313">
        <f>'HỢP ĐỒNG'!G46</f>
        <v>625.5</v>
      </c>
      <c r="H38" s="315">
        <f>'HỢP ĐỒNG'!I46</f>
        <v>39241099</v>
      </c>
      <c r="I38" s="316">
        <f>'HỢP ĐỒNG'!I46</f>
        <v>39241099</v>
      </c>
      <c r="J38" s="341"/>
      <c r="K38" s="343"/>
    </row>
    <row r="39" spans="1:11" ht="104.25" customHeight="1" thickBot="1">
      <c r="A39" s="310">
        <f>'HỢP ĐỒNG'!A47</f>
        <v>29</v>
      </c>
      <c r="B39" s="311" t="str">
        <f>'INVOICE lam CO'!B43</f>
        <v>Trays</v>
      </c>
      <c r="C39" s="312" t="str">
        <f>'HỢP ĐỒNG'!C47</f>
        <v>Khay đựng đũa đặt trên bàn ăn dùng trong nhà bếp, không dùng đựng thực phẩm, chất liệu bằng nhựa ABS, kí hiệu: C-1223. KT: (26.5*8.7*5)cm+-10%, không hiệu. Nsx: Shandong Machinery Co., Ltd. Mới 100%</v>
      </c>
      <c r="D39" s="309" t="str">
        <f>'HỢP ĐỒNG'!D47</f>
        <v>PCE</v>
      </c>
      <c r="E39" s="313">
        <f>'HỢP ĐỒNG'!E47</f>
        <v>150</v>
      </c>
      <c r="F39" s="314">
        <f>'HỢP ĐỒNG'!F47</f>
        <v>4.17</v>
      </c>
      <c r="G39" s="313">
        <f>'HỢP ĐỒNG'!G47</f>
        <v>625.5</v>
      </c>
      <c r="H39" s="315">
        <f>'HỢP ĐỒNG'!I47</f>
        <v>39241099</v>
      </c>
      <c r="I39" s="316">
        <f>'HỢP ĐỒNG'!I47</f>
        <v>39241099</v>
      </c>
      <c r="J39" s="341"/>
      <c r="K39" s="343"/>
    </row>
    <row r="40" spans="1:11" ht="104.25" customHeight="1" thickBot="1">
      <c r="A40" s="310">
        <f>'HỢP ĐỒNG'!A48</f>
        <v>30</v>
      </c>
      <c r="B40" s="311" t="str">
        <f>'INVOICE lam CO'!B44</f>
        <v>Hotpot pot</v>
      </c>
      <c r="C40" s="312" t="str">
        <f>'HỢP ĐỒNG'!C48</f>
        <v>Nồi lẩu sần 2 ngăn NLS2N32B, dùng trong nhà bếp, không dùng điện, chất liệu inox. ĐK: 32cm+/-10%, không hiệu, nsx: Jiangmen Jida Stainless Steel Products Co., Ltd.. Mới 100%</v>
      </c>
      <c r="D40" s="309" t="str">
        <f>'HỢP ĐỒNG'!D48</f>
        <v>PCE</v>
      </c>
      <c r="E40" s="313">
        <f>'HỢP ĐỒNG'!E48</f>
        <v>200</v>
      </c>
      <c r="F40" s="314">
        <f>'HỢP ĐỒNG'!F48</f>
        <v>13.19</v>
      </c>
      <c r="G40" s="313">
        <f>'HỢP ĐỒNG'!G48</f>
        <v>2638</v>
      </c>
      <c r="H40" s="315">
        <f>'HỢP ĐỒNG'!I48</f>
        <v>73239310</v>
      </c>
      <c r="I40" s="316">
        <f>'HỢP ĐỒNG'!I48</f>
        <v>73239310</v>
      </c>
      <c r="J40" s="341"/>
      <c r="K40" s="343"/>
    </row>
    <row r="41" spans="1:11" ht="104.25" customHeight="1" thickBot="1">
      <c r="A41" s="310">
        <f>'HỢP ĐỒNG'!A49</f>
        <v>31</v>
      </c>
      <c r="B41" s="311" t="str">
        <f>'INVOICE lam CO'!B45</f>
        <v>Hotpot pot</v>
      </c>
      <c r="C41" s="312" t="str">
        <f>'HỢP ĐỒNG'!C49</f>
        <v>Nồi lẩu inox NLS30B, dùng trong nhà bếp, không dùng điện. ĐK: 28cm+/-10%, không hiệu, nsx: Jiangmen Jida Stainless Steel Products Co., Ltd.. Mới 100%</v>
      </c>
      <c r="D41" s="309" t="str">
        <f>'HỢP ĐỒNG'!D49</f>
        <v>PCE</v>
      </c>
      <c r="E41" s="313">
        <f>'HỢP ĐỒNG'!E49</f>
        <v>26</v>
      </c>
      <c r="F41" s="314">
        <f>'HỢP ĐỒNG'!F49</f>
        <v>7.92</v>
      </c>
      <c r="G41" s="313">
        <f>'HỢP ĐỒNG'!G49</f>
        <v>205.92</v>
      </c>
      <c r="H41" s="315">
        <f>'HỢP ĐỒNG'!I49</f>
        <v>73239310</v>
      </c>
      <c r="I41" s="316">
        <f>'HỢP ĐỒNG'!I49</f>
        <v>73239310</v>
      </c>
      <c r="J41" s="341"/>
      <c r="K41" s="343"/>
    </row>
    <row r="42" spans="1:11" ht="104.25" customHeight="1" thickBot="1">
      <c r="A42" s="310">
        <f>'HỢP ĐỒNG'!A50</f>
        <v>32</v>
      </c>
      <c r="B42" s="311" t="str">
        <f>'INVOICE lam CO'!B46</f>
        <v>Trays</v>
      </c>
      <c r="C42" s="312" t="str">
        <f>'HỢP ĐỒNG'!C50</f>
        <v>Khay chữ nhật có đế, dùng trang trí trưng bày trong khách sạn, không đựng thực phẩm, KH: 990808, CL nhựa ABS.KT: (20.4*15*5.8)cm+/-10%, không hiệu.NSX: Jiangmen Jida Stainless Steel Products. Mới 100%</v>
      </c>
      <c r="D42" s="309" t="str">
        <f>'HỢP ĐỒNG'!D50</f>
        <v>PCE</v>
      </c>
      <c r="E42" s="313">
        <f>'HỢP ĐỒNG'!E50</f>
        <v>120</v>
      </c>
      <c r="F42" s="314">
        <f>'HỢP ĐỒNG'!F50</f>
        <v>1.88</v>
      </c>
      <c r="G42" s="313">
        <f>'HỢP ĐỒNG'!G50</f>
        <v>225.6</v>
      </c>
      <c r="H42" s="315">
        <f>'HỢP ĐỒNG'!I50</f>
        <v>39264000</v>
      </c>
      <c r="I42" s="316">
        <f>'HỢP ĐỒNG'!I50</f>
        <v>39264000</v>
      </c>
      <c r="J42" s="341"/>
      <c r="K42" s="343"/>
    </row>
    <row r="43" spans="1:11" ht="104.25" customHeight="1" thickBot="1">
      <c r="A43" s="310">
        <f>'HỢP ĐỒNG'!A51</f>
        <v>33</v>
      </c>
      <c r="B43" s="311" t="str">
        <f>'INVOICE lam CO'!B47</f>
        <v>Screen protector</v>
      </c>
      <c r="C43" s="312" t="str">
        <f>'HỢP ĐỒNG'!C51</f>
        <v>Miếng dán kính cường lực BAIKO GLASS dùng cho điện thoại,loại an toàn 2 lớp (kính dán an toàn nhiều lớp),CL sợi thủy tinh, có lớp bảo vệ bằng nhựa. KT: (185*75*25)mm +/-10%, nhãn hiệu: BAIKO. Mới 100%</v>
      </c>
      <c r="D43" s="309" t="str">
        <f>'HỢP ĐỒNG'!D51</f>
        <v>PCE</v>
      </c>
      <c r="E43" s="313">
        <f>'HỢP ĐỒNG'!E51</f>
        <v>6500</v>
      </c>
      <c r="F43" s="314">
        <f>'HỢP ĐỒNG'!F51</f>
        <v>0.183</v>
      </c>
      <c r="G43" s="313">
        <f>'HỢP ĐỒNG'!G51</f>
        <v>1189.5</v>
      </c>
      <c r="H43" s="315">
        <f>'HỢP ĐỒNG'!I51</f>
        <v>70072990</v>
      </c>
      <c r="I43" s="316">
        <f>'HỢP ĐỒNG'!I51</f>
        <v>70072990</v>
      </c>
      <c r="J43" s="341"/>
      <c r="K43" s="343"/>
    </row>
    <row r="44" spans="1:11" ht="104.25" customHeight="1" thickBot="1">
      <c r="A44" s="310">
        <f>'HỢP ĐỒNG'!A52</f>
        <v>34</v>
      </c>
      <c r="B44" s="311" t="str">
        <f>'INVOICE lam CO'!B48</f>
        <v>Screen protector</v>
      </c>
      <c r="C44" s="312" t="str">
        <f>'HỢP ĐỒNG'!C52</f>
        <v>Miếng dán kính cường lựcBAIKO GLASS trong suốt ko viền đen dùng cho điện thoại,loại an toàn 2lớp(kính dán an toàn nhiều lớp),CLsợi thủy tinh,có lớp bảo vệ bằng nhựa.KT:(185*75*25)mm,hiệu:BAIKO.Mới100%</v>
      </c>
      <c r="D44" s="309" t="str">
        <f>'HỢP ĐỒNG'!D52</f>
        <v>PCE</v>
      </c>
      <c r="E44" s="313">
        <f>'HỢP ĐỒNG'!E52</f>
        <v>13000</v>
      </c>
      <c r="F44" s="314">
        <f>'HỢP ĐỒNG'!F52</f>
        <v>0.20699999999999999</v>
      </c>
      <c r="G44" s="313">
        <f>'HỢP ĐỒNG'!G52</f>
        <v>2691</v>
      </c>
      <c r="H44" s="315">
        <f>'HỢP ĐỒNG'!I52</f>
        <v>70072990</v>
      </c>
      <c r="I44" s="316">
        <f>'HỢP ĐỒNG'!I52</f>
        <v>70072990</v>
      </c>
      <c r="J44" s="341"/>
      <c r="K44" s="343"/>
    </row>
    <row r="45" spans="1:11" ht="104.25" customHeight="1" thickBot="1">
      <c r="A45" s="310">
        <f>'HỢP ĐỒNG'!A53</f>
        <v>35</v>
      </c>
      <c r="B45" s="311" t="str">
        <f>'INVOICE lam CO'!B49</f>
        <v>Screen protector</v>
      </c>
      <c r="C45" s="312" t="str">
        <f>'HỢP ĐỒNG'!C53</f>
        <v>Miếng dán kính cường lực BAIKO ULTRA THIN PRIVACY dùng cho điện thoại,loại kính dán nhiều lớp,CL sợi thủy tinh, lớp bảo vệ bằng nhựa. KT (185*75*25)mm +/-10%,nhãn hiệu: BAIKO. Mới 100%</v>
      </c>
      <c r="D45" s="309" t="str">
        <f>'HỢP ĐỒNG'!D53</f>
        <v>PCE</v>
      </c>
      <c r="E45" s="313">
        <f>'HỢP ĐỒNG'!E53</f>
        <v>1620</v>
      </c>
      <c r="F45" s="314">
        <f>'HỢP ĐỒNG'!F53</f>
        <v>0.66</v>
      </c>
      <c r="G45" s="313">
        <f>'HỢP ĐỒNG'!G53</f>
        <v>1069.2</v>
      </c>
      <c r="H45" s="315">
        <f>'HỢP ĐỒNG'!I53</f>
        <v>70072990</v>
      </c>
      <c r="I45" s="316">
        <f>'HỢP ĐỒNG'!I53</f>
        <v>70072990</v>
      </c>
      <c r="J45" s="341"/>
      <c r="K45" s="343"/>
    </row>
    <row r="46" spans="1:11" ht="104.25" customHeight="1" thickBot="1">
      <c r="A46" s="310">
        <f>'HỢP ĐỒNG'!A54</f>
        <v>36</v>
      </c>
      <c r="B46" s="311" t="str">
        <f>'INVOICE lam CO'!B50</f>
        <v>Screen protector</v>
      </c>
      <c r="C46" s="312" t="str">
        <f>'HỢP ĐỒNG'!C54</f>
        <v>Miếng dán kính cường lực BAIKO GLASS PRIVACY cho điện thoại,loại an toàn 2 lớp (kính dán an toàn nhiều lớp),CL sợi thủy tinh, có lớp bảo vệ bằng nhựa. KT: (185*75*25)mm, nhãn hiệu: BAIKO. Mới 100%</v>
      </c>
      <c r="D46" s="309" t="str">
        <f>'HỢP ĐỒNG'!D54</f>
        <v>PCE</v>
      </c>
      <c r="E46" s="313">
        <f>'HỢP ĐỒNG'!E54</f>
        <v>5000</v>
      </c>
      <c r="F46" s="314">
        <f>'HỢP ĐỒNG'!F54</f>
        <v>0.32</v>
      </c>
      <c r="G46" s="313">
        <f>'HỢP ĐỒNG'!G54</f>
        <v>1600</v>
      </c>
      <c r="H46" s="315">
        <f>'HỢP ĐỒNG'!I54</f>
        <v>70072990</v>
      </c>
      <c r="I46" s="316">
        <f>'HỢP ĐỒNG'!I54</f>
        <v>70072990</v>
      </c>
      <c r="J46" s="341"/>
      <c r="K46" s="343"/>
    </row>
    <row r="47" spans="1:11" ht="104.25" customHeight="1" thickBot="1">
      <c r="A47" s="310">
        <f>'HỢP ĐỒNG'!A55</f>
        <v>37</v>
      </c>
      <c r="B47" s="311" t="str">
        <f>'INVOICE lam CO'!B51</f>
        <v>Screen protector</v>
      </c>
      <c r="C47" s="312" t="str">
        <f>'HỢP ĐỒNG'!C55</f>
        <v>Tấm kính cường lực loại an toàn nhiều lớp, dùng để bảo vệ màn hình điện thoại di dộng, ESD GLASS màu tím, chất liệu sợi thuỷ tinh, lớp bảo vệ bằng nhựa. KT: (185*75*25)mm, nhãn hiệu: BAIKO.Mới 100%</v>
      </c>
      <c r="D47" s="309" t="str">
        <f>'HỢP ĐỒNG'!D55</f>
        <v>PCE</v>
      </c>
      <c r="E47" s="313">
        <f>'HỢP ĐỒNG'!E55</f>
        <v>3000</v>
      </c>
      <c r="F47" s="314">
        <f>'HỢP ĐỒNG'!F55</f>
        <v>0.26</v>
      </c>
      <c r="G47" s="313">
        <f>'HỢP ĐỒNG'!G55</f>
        <v>780</v>
      </c>
      <c r="H47" s="315">
        <f>'HỢP ĐỒNG'!I55</f>
        <v>70072990</v>
      </c>
      <c r="I47" s="316">
        <f>'HỢP ĐỒNG'!I55</f>
        <v>70072990</v>
      </c>
      <c r="J47" s="340"/>
      <c r="K47" s="343"/>
    </row>
    <row r="48" spans="1:11" ht="104.25" customHeight="1" thickBot="1">
      <c r="A48" s="310">
        <f>'HỢP ĐỒNG'!A56</f>
        <v>38</v>
      </c>
      <c r="B48" s="311" t="str">
        <f>'INVOICE lam CO'!B52</f>
        <v>Velvet zinc wire</v>
      </c>
      <c r="C48" s="312" t="str">
        <f>'HỢP ĐỒNG'!C56</f>
        <v>Dây kẽm nhung (lõi kẽm bọc vải nhung) dùng để làm hoa giả, 100 sợi/bó. 1 bó=1 set. KT: đường kính 0.8cm, dài 30cm+/-10%, không hiệu. NSX: Yiwu Tianhong Crafts Co., Ltd, mới 100%</v>
      </c>
      <c r="D48" s="309" t="str">
        <f>'HỢP ĐỒNG'!D56</f>
        <v>SET</v>
      </c>
      <c r="E48" s="313">
        <f>'HỢP ĐỒNG'!E56</f>
        <v>6000</v>
      </c>
      <c r="F48" s="314">
        <f>'HỢP ĐỒNG'!F56</f>
        <v>0.41</v>
      </c>
      <c r="G48" s="313">
        <f>'HỢP ĐỒNG'!G56</f>
        <v>2460</v>
      </c>
      <c r="H48" s="315">
        <f>'HỢP ĐỒNG'!I56</f>
        <v>79070099</v>
      </c>
      <c r="I48" s="316">
        <f>'HỢP ĐỒNG'!I56</f>
        <v>79070099</v>
      </c>
      <c r="J48" s="341"/>
      <c r="K48" s="343"/>
    </row>
    <row r="49" spans="1:11" ht="104.25" customHeight="1" thickBot="1">
      <c r="A49" s="310">
        <f>'HỢP ĐỒNG'!A57</f>
        <v>39</v>
      </c>
      <c r="B49" s="311" t="str">
        <f>'INVOICE lam CO'!B53</f>
        <v>Scouring pad</v>
      </c>
      <c r="C49" s="312" t="str">
        <f>'HỢP ĐỒNG'!C57</f>
        <v>Miếng nhám cọ rửa bát đĩa, chất liệu lớp mút xốp bằng nhựa, dạng mút xốp kết hợp lớp nhám. KT: (10*6*2)cm+/-10%, không hiệu, nsx: Fengrun Commodity Co., Ltd. Mới 100%</v>
      </c>
      <c r="D49" s="309" t="str">
        <f>'HỢP ĐỒNG'!D57</f>
        <v>PCE</v>
      </c>
      <c r="E49" s="313">
        <f>'HỢP ĐỒNG'!E57</f>
        <v>30000</v>
      </c>
      <c r="F49" s="314">
        <f>'HỢP ĐỒNG'!F57</f>
        <v>0.122</v>
      </c>
      <c r="G49" s="313">
        <f>'HỢP ĐỒNG'!G57</f>
        <v>3660</v>
      </c>
      <c r="H49" s="315">
        <f>'HỢP ĐỒNG'!I57</f>
        <v>96039090</v>
      </c>
      <c r="I49" s="316">
        <f>'HỢP ĐỒNG'!I57</f>
        <v>96039090</v>
      </c>
      <c r="J49" s="341"/>
      <c r="K49" s="343"/>
    </row>
    <row r="50" spans="1:11" ht="104.25" customHeight="1" thickBot="1">
      <c r="A50" s="310">
        <f>'HỢP ĐỒNG'!A58</f>
        <v>40</v>
      </c>
      <c r="B50" s="311" t="str">
        <f>'INVOICE lam CO'!B54</f>
        <v>Box of 4 ballpoint pens</v>
      </c>
      <c r="C50" s="312" t="str">
        <f>'HỢP ĐỒNG'!C58</f>
        <v>Hộp 4 bút bi mực gel, thân vỏ bút bằng nhựa tổng hợp có in họa tiết. KT: (dài 18*0.8cm)+-10%, không hiệu. Nsx Baiqi Hourglass Pens Co.Ltd, mới 100%</v>
      </c>
      <c r="D50" s="309" t="str">
        <f>'HỢP ĐỒNG'!D58</f>
        <v>UNK</v>
      </c>
      <c r="E50" s="313">
        <f>'HỢP ĐỒNG'!E58</f>
        <v>2500</v>
      </c>
      <c r="F50" s="314">
        <f>'HỢP ĐỒNG'!F58</f>
        <v>0.56999999999999995</v>
      </c>
      <c r="G50" s="313">
        <f>'HỢP ĐỒNG'!G58</f>
        <v>1424.9999999999998</v>
      </c>
      <c r="H50" s="315">
        <f>'HỢP ĐỒNG'!I58</f>
        <v>96081010</v>
      </c>
      <c r="I50" s="316">
        <f>'HỢP ĐỒNG'!I58</f>
        <v>96081010</v>
      </c>
      <c r="J50" s="341"/>
      <c r="K50" s="343"/>
    </row>
    <row r="51" spans="1:11" ht="104.25" customHeight="1" thickBot="1">
      <c r="A51" s="310">
        <f>'HỢP ĐỒNG'!A59</f>
        <v>41</v>
      </c>
      <c r="B51" s="311" t="str">
        <f>'INVOICE lam CO'!B55</f>
        <v>School supplies bag</v>
      </c>
      <c r="C51" s="312" t="str">
        <f>'HỢP ĐỒNG'!C59</f>
        <v>Túi đựng dụng cụ học tập 1 ngăn in họa tiết basic loại đựng trong túi, cặp chất liệu và mặt ngoài bằng vải dệt. KT: (20*8*6)cm+/-10%, không hiệu. NSX: Shanghai Stationery Inc. Mới 100%</v>
      </c>
      <c r="D51" s="309" t="str">
        <f>'HỢP ĐỒNG'!D59</f>
        <v>PCE</v>
      </c>
      <c r="E51" s="313">
        <f>'HỢP ĐỒNG'!E59</f>
        <v>14500</v>
      </c>
      <c r="F51" s="314">
        <f>'HỢP ĐỒNG'!F59</f>
        <v>0.28999999999999998</v>
      </c>
      <c r="G51" s="313">
        <f>'HỢP ĐỒNG'!G59</f>
        <v>4205</v>
      </c>
      <c r="H51" s="315">
        <f>'HỢP ĐỒNG'!I59</f>
        <v>42023200</v>
      </c>
      <c r="I51" s="316">
        <f>'HỢP ĐỒNG'!I59</f>
        <v>42023200</v>
      </c>
      <c r="J51" s="341"/>
      <c r="K51" s="343"/>
    </row>
    <row r="52" spans="1:11" ht="104.25" customHeight="1" thickBot="1">
      <c r="A52" s="310">
        <f>'HỢP ĐỒNG'!A60</f>
        <v>42</v>
      </c>
      <c r="B52" s="311" t="str">
        <f>'INVOICE lam CO'!B56</f>
        <v>School supplies bag</v>
      </c>
      <c r="C52" s="312" t="str">
        <f>'HỢP ĐỒNG'!C60</f>
        <v>Túi đựng dụng cụ học tập 2 ngăn loại đựng trong túi, cặp chất liệu và mặt ngoài bằng vải dệt không thấm nước. KT: (20*10*6)cm+/-10%, không hiệu. NSX:Yiwu Jiayi Daily Necessities Factory,mới 100%</v>
      </c>
      <c r="D52" s="309" t="str">
        <f>'HỢP ĐỒNG'!D60</f>
        <v>PCE</v>
      </c>
      <c r="E52" s="313">
        <f>'HỢP ĐỒNG'!E60</f>
        <v>1000</v>
      </c>
      <c r="F52" s="314">
        <f>'HỢP ĐỒNG'!F60</f>
        <v>0.45</v>
      </c>
      <c r="G52" s="313">
        <f>'HỢP ĐỒNG'!G60</f>
        <v>450</v>
      </c>
      <c r="H52" s="315">
        <f>'HỢP ĐỒNG'!I60</f>
        <v>42023200</v>
      </c>
      <c r="I52" s="316">
        <f>'HỢP ĐỒNG'!I60</f>
        <v>42023200</v>
      </c>
      <c r="J52" s="341"/>
      <c r="K52" s="343"/>
    </row>
    <row r="53" spans="1:11" ht="104.25" customHeight="1" thickBot="1">
      <c r="A53" s="310">
        <f>'HỢP ĐỒNG'!A61</f>
        <v>43</v>
      </c>
      <c r="B53" s="311" t="str">
        <f>'INVOICE lam CO'!B57</f>
        <v>Ice maker machine</v>
      </c>
      <c r="C53" s="312" t="str">
        <f>'HỢP ĐỒNG'!C61</f>
        <v>Máy làm đá viên, model: FPS-1500P. KT máy: (1225*970*1920)mm, kt thùng chứa đá: (1330*720*930)mm+/-10%, đ/áp: 220V/50Hz, CS: 682kg/24h. Nhãn hiệu: ASIMA, mới 100%</v>
      </c>
      <c r="D53" s="309" t="str">
        <f>'HỢP ĐỒNG'!D61</f>
        <v>PCE</v>
      </c>
      <c r="E53" s="313">
        <f>'HỢP ĐỒNG'!E61</f>
        <v>3</v>
      </c>
      <c r="F53" s="314">
        <f>'HỢP ĐỒNG'!F61</f>
        <v>3940.06</v>
      </c>
      <c r="G53" s="313">
        <f>'HỢP ĐỒNG'!G61</f>
        <v>11820.18</v>
      </c>
      <c r="H53" s="315">
        <f>'HỢP ĐỒNG'!I61</f>
        <v>84186990</v>
      </c>
      <c r="I53" s="316">
        <f>'HỢP ĐỒNG'!I61</f>
        <v>84186990</v>
      </c>
      <c r="J53" s="341"/>
      <c r="K53" s="343"/>
    </row>
    <row r="54" spans="1:11" ht="104.25" customHeight="1" thickBot="1">
      <c r="A54" s="310">
        <f>'HỢP ĐỒNG'!A62</f>
        <v>44</v>
      </c>
      <c r="B54" s="311" t="str">
        <f>'INVOICE lam CO'!B58</f>
        <v>Massage machine</v>
      </c>
      <c r="C54" s="312" t="str">
        <f>'HỢP ĐỒNG'!C62</f>
        <v>Máy massage đầu gối 5 chế độ hoạt động, dùng để massage thư giãn, giảm mỏi cơ vùng đầu gối. Công suất: 3.7V/10W, dung lượng pin 2000 mAh. Model: DG11.Hiệu: DELAX, mới 100%</v>
      </c>
      <c r="D54" s="309" t="str">
        <f>'HỢP ĐỒNG'!D62</f>
        <v>PCE</v>
      </c>
      <c r="E54" s="313">
        <f>'HỢP ĐỒNG'!E62</f>
        <v>400</v>
      </c>
      <c r="F54" s="314">
        <f>'HỢP ĐỒNG'!F62</f>
        <v>19.98</v>
      </c>
      <c r="G54" s="313">
        <f>'HỢP ĐỒNG'!G62</f>
        <v>7992</v>
      </c>
      <c r="H54" s="315">
        <f>'HỢP ĐỒNG'!I62</f>
        <v>90191010</v>
      </c>
      <c r="I54" s="316">
        <f>'HỢP ĐỒNG'!I62</f>
        <v>90191010</v>
      </c>
      <c r="J54" s="341"/>
      <c r="K54" s="343"/>
    </row>
    <row r="55" spans="1:11" ht="104.25" customHeight="1" thickBot="1">
      <c r="A55" s="310">
        <f>'HỢP ĐỒNG'!A63</f>
        <v>45</v>
      </c>
      <c r="B55" s="311" t="str">
        <f>'INVOICE lam CO'!B59</f>
        <v>Wash tub</v>
      </c>
      <c r="C55" s="312" t="str">
        <f>'HỢP ĐỒNG'!C63</f>
        <v>Chậu rửa bát bằng inox 201, chống ngưng tụ nước, 1 hộc dùng trong nhà bếp. KT: (450*400*215)mm+/-10%, kí hiệu: 4540-D(201)2.7mm, không hiệu. NSX: Foshan Jinyunke Kitchen &amp; Bath Co., Ltd., mới 100%</v>
      </c>
      <c r="D55" s="309" t="str">
        <f>'HỢP ĐỒNG'!D63</f>
        <v>PCE</v>
      </c>
      <c r="E55" s="313">
        <f>'HỢP ĐỒNG'!E63</f>
        <v>400</v>
      </c>
      <c r="F55" s="314">
        <f>'HỢP ĐỒNG'!F63</f>
        <v>10.41</v>
      </c>
      <c r="G55" s="313">
        <f>'HỢP ĐỒNG'!G63</f>
        <v>4164</v>
      </c>
      <c r="H55" s="315">
        <f>'HỢP ĐỒNG'!I63</f>
        <v>73241010</v>
      </c>
      <c r="I55" s="316">
        <f>'HỢP ĐỒNG'!I63</f>
        <v>73241010</v>
      </c>
      <c r="J55" s="341"/>
      <c r="K55" s="343"/>
    </row>
    <row r="56" spans="1:11" ht="104.25" customHeight="1" thickBot="1">
      <c r="A56" s="310">
        <f>'HỢP ĐỒNG'!A64</f>
        <v>46</v>
      </c>
      <c r="B56" s="311" t="str">
        <f>'INVOICE lam CO'!B60</f>
        <v>Wash tub</v>
      </c>
      <c r="C56" s="312" t="str">
        <f>'HỢP ĐỒNG'!C64</f>
        <v>Chậu rửa bát bằng inox 201, chống ngưng tụ nước, 1 hộc dùng trong nhà bếp. KT: (500*400*215)mm+/-10%, kí hiệu: 5040-D(201)2.7mm, không hiệu. NSX: Foshan Jinyunke Kitchen &amp; Bath Co., Ltd., mới 100%</v>
      </c>
      <c r="D56" s="309" t="str">
        <f>'HỢP ĐỒNG'!D64</f>
        <v>PCE</v>
      </c>
      <c r="E56" s="313">
        <f>'HỢP ĐỒNG'!E64</f>
        <v>200</v>
      </c>
      <c r="F56" s="314">
        <f>'HỢP ĐỒNG'!F64</f>
        <v>10.77</v>
      </c>
      <c r="G56" s="313">
        <f>'HỢP ĐỒNG'!G64</f>
        <v>2154</v>
      </c>
      <c r="H56" s="315">
        <f>'HỢP ĐỒNG'!I64</f>
        <v>73241010</v>
      </c>
      <c r="I56" s="316">
        <f>'HỢP ĐỒNG'!I64</f>
        <v>73241010</v>
      </c>
      <c r="J56" s="341"/>
      <c r="K56" s="343"/>
    </row>
    <row r="57" spans="1:11" ht="104.25" customHeight="1" thickBot="1">
      <c r="A57" s="310">
        <f>'HỢP ĐỒNG'!A65</f>
        <v>47</v>
      </c>
      <c r="B57" s="311" t="str">
        <f>'INVOICE lam CO'!B61</f>
        <v>Wash tub</v>
      </c>
      <c r="C57" s="312" t="str">
        <f>'HỢP ĐỒNG'!C65</f>
        <v>Chậu rửa bát bằng inox 201, chống ngưng tụ nước, 1 hộc dùng trong nhà bếp. KT: (600*450*215)mm+/-10%, kí hiệu: 6045-D(201)2.7mm, không hiệu. NSX: Foshan Jinyunke Kitchen &amp; Bath Co., Ltd., mới 100%</v>
      </c>
      <c r="D57" s="309" t="str">
        <f>'HỢP ĐỒNG'!D65</f>
        <v>PCE</v>
      </c>
      <c r="E57" s="313">
        <f>'HỢP ĐỒNG'!E65</f>
        <v>400</v>
      </c>
      <c r="F57" s="314">
        <f>'HỢP ĐỒNG'!F65</f>
        <v>11.09</v>
      </c>
      <c r="G57" s="313">
        <f>'HỢP ĐỒNG'!G65</f>
        <v>4436</v>
      </c>
      <c r="H57" s="315">
        <f>'HỢP ĐỒNG'!I65</f>
        <v>73241010</v>
      </c>
      <c r="I57" s="316">
        <f>'HỢP ĐỒNG'!I65</f>
        <v>73241010</v>
      </c>
      <c r="J57" s="341"/>
      <c r="K57" s="343"/>
    </row>
    <row r="58" spans="1:11" ht="104.25" customHeight="1" thickBot="1">
      <c r="A58" s="310">
        <f>'HỢP ĐỒNG'!A66</f>
        <v>48</v>
      </c>
      <c r="B58" s="311" t="str">
        <f>'INVOICE lam CO'!B62</f>
        <v>Wash tub</v>
      </c>
      <c r="C58" s="312" t="str">
        <f>'HỢP ĐỒNG'!C66</f>
        <v>Chậu rửa bát bằng inox 201, chống ngưng tụ nước, 1 hộc dùng trong nhà bếp. KT: (600*450*215)mm+/-10%, kí hiệu: 6045-AE(201)2.7mm, không hiệu. NSX: Foshan Jinyunke Kitchen &amp; Bath Co., Ltd., mới 100%</v>
      </c>
      <c r="D58" s="309" t="str">
        <f>'HỢP ĐỒNG'!D66</f>
        <v>PCE</v>
      </c>
      <c r="E58" s="313">
        <f>'HỢP ĐỒNG'!E66</f>
        <v>200</v>
      </c>
      <c r="F58" s="314">
        <f>'HỢP ĐỒNG'!F66</f>
        <v>14.36</v>
      </c>
      <c r="G58" s="313">
        <f>'HỢP ĐỒNG'!G66</f>
        <v>2872</v>
      </c>
      <c r="H58" s="315">
        <f>'HỢP ĐỒNG'!I66</f>
        <v>73241010</v>
      </c>
      <c r="I58" s="316">
        <f>'HỢP ĐỒNG'!I66</f>
        <v>73241010</v>
      </c>
      <c r="J58" s="341"/>
      <c r="K58" s="343"/>
    </row>
    <row r="59" spans="1:11" ht="104.25" customHeight="1" thickBot="1">
      <c r="A59" s="310">
        <f>'HỢP ĐỒNG'!A67</f>
        <v>49</v>
      </c>
      <c r="B59" s="311" t="str">
        <f>'INVOICE lam CO'!B63</f>
        <v>Wash tub</v>
      </c>
      <c r="C59" s="312" t="str">
        <f>'HỢP ĐỒNG'!C67</f>
        <v>Chậu rửa bát bằng inox 304, chống ngưng tụ nước, 1 hộc dùng trong nhà bếp, KT: (750*460*215)mm+/-10%, kí hiệu: 7546-B(304)5.0mm, không hiệu. NSX: Foshan Jinyunke Kitchen &amp; Bath Co., Ltd., mới 100%</v>
      </c>
      <c r="D59" s="309" t="str">
        <f>'HỢP ĐỒNG'!D67</f>
        <v>PCE</v>
      </c>
      <c r="E59" s="313">
        <f>'HỢP ĐỒNG'!E67</f>
        <v>60</v>
      </c>
      <c r="F59" s="314">
        <f>'HỢP ĐỒNG'!F67</f>
        <v>34.07</v>
      </c>
      <c r="G59" s="313">
        <f>'HỢP ĐỒNG'!G67</f>
        <v>2044.2</v>
      </c>
      <c r="H59" s="315">
        <f>'HỢP ĐỒNG'!I67</f>
        <v>73241010</v>
      </c>
      <c r="I59" s="316">
        <f>'HỢP ĐỒNG'!I67</f>
        <v>73241010</v>
      </c>
      <c r="J59" s="340"/>
      <c r="K59" s="343"/>
    </row>
    <row r="60" spans="1:11" ht="104.25" customHeight="1" thickBot="1">
      <c r="A60" s="310">
        <f>'HỢP ĐỒNG'!A68</f>
        <v>50</v>
      </c>
      <c r="B60" s="311" t="str">
        <f>'INVOICE lam CO'!B64</f>
        <v>Wash tub</v>
      </c>
      <c r="C60" s="312" t="str">
        <f>'HỢP ĐỒNG'!C68</f>
        <v>Chậu rửa bát bằng inox 201, chống ngưng tụ nước, 1 hộc dùng trong nhà bếp, KT: (780*460*215)mm+/-10%, kí hiệu: 7846-A(201)2.7mm, không hiệu. NSX: Foshan Jinyunke Kitchen &amp; Bath Co., Ltd., mới 100%</v>
      </c>
      <c r="D60" s="309" t="str">
        <f>'HỢP ĐỒNG'!D68</f>
        <v>PCE</v>
      </c>
      <c r="E60" s="313">
        <f>'HỢP ĐỒNG'!E68</f>
        <v>100</v>
      </c>
      <c r="F60" s="314">
        <f>'HỢP ĐỒNG'!F68</f>
        <v>16.850000000000001</v>
      </c>
      <c r="G60" s="313">
        <f>'HỢP ĐỒNG'!G68</f>
        <v>1685.0000000000002</v>
      </c>
      <c r="H60" s="315">
        <f>'HỢP ĐỒNG'!I68</f>
        <v>73241010</v>
      </c>
      <c r="I60" s="316">
        <f>'HỢP ĐỒNG'!I68</f>
        <v>73241010</v>
      </c>
      <c r="J60" s="341"/>
      <c r="K60" s="343"/>
    </row>
    <row r="61" spans="1:11" ht="104.25" customHeight="1" thickBot="1">
      <c r="A61" s="310">
        <f>'HỢP ĐỒNG'!A69</f>
        <v>51</v>
      </c>
      <c r="B61" s="311" t="str">
        <f>'INVOICE lam CO'!B65</f>
        <v>Wash tub</v>
      </c>
      <c r="C61" s="312" t="str">
        <f>'HỢP ĐỒNG'!C69</f>
        <v>Chậu rửa bát bằng inox 201, chống ngưng tụ nước, 2 hộc dùng trong nhà bếp, KT: (780*460*215)mm+/-10%, kí hiệu: 7846-AE(201)2.7mm, không hiệu. NSX: Foshan Jinyunke Kitchen &amp; Bath Co., Ltd., mới 100%</v>
      </c>
      <c r="D61" s="309" t="str">
        <f>'HỢP ĐỒNG'!D69</f>
        <v>PCE</v>
      </c>
      <c r="E61" s="313">
        <f>'HỢP ĐỒNG'!E69</f>
        <v>100</v>
      </c>
      <c r="F61" s="314">
        <f>'HỢP ĐỒNG'!F69</f>
        <v>20.46</v>
      </c>
      <c r="G61" s="313">
        <f>'HỢP ĐỒNG'!G69</f>
        <v>2046</v>
      </c>
      <c r="H61" s="315">
        <f>'HỢP ĐỒNG'!I69</f>
        <v>73241010</v>
      </c>
      <c r="I61" s="316">
        <f>'HỢP ĐỒNG'!I69</f>
        <v>73241010</v>
      </c>
      <c r="J61" s="341"/>
      <c r="K61" s="343"/>
    </row>
    <row r="62" spans="1:11" ht="104.25" customHeight="1" thickBot="1">
      <c r="A62" s="310">
        <f>'HỢP ĐỒNG'!A70</f>
        <v>52</v>
      </c>
      <c r="B62" s="311" t="str">
        <f>'INVOICE lam CO'!B66</f>
        <v>Roller shutter controller</v>
      </c>
      <c r="C62" s="312" t="str">
        <f>'HỢP ĐỒNG'!C70</f>
        <v>Điều khiển cửa cuốn từ xa, loại điều khiển bằng sóng hồng ngoại, vỏ bằng nhựa tổng hợp, không chứa dữ liệu, mật mã dân sự, sử dụng pin 23A/12V, không hiệu. Nsx: Zhejiang Zhiyuan Factory. Mới 100%</v>
      </c>
      <c r="D62" s="309" t="str">
        <f>'HỢP ĐỒNG'!D70</f>
        <v>PCE</v>
      </c>
      <c r="E62" s="313">
        <f>'HỢP ĐỒNG'!E70</f>
        <v>5000</v>
      </c>
      <c r="F62" s="314">
        <f>'HỢP ĐỒNG'!F70</f>
        <v>0.94</v>
      </c>
      <c r="G62" s="313">
        <f>'HỢP ĐỒNG'!G70</f>
        <v>4700</v>
      </c>
      <c r="H62" s="315">
        <f>'HỢP ĐỒNG'!I70</f>
        <v>85437029</v>
      </c>
      <c r="I62" s="316">
        <f>'HỢP ĐỒNG'!I70</f>
        <v>85437029</v>
      </c>
      <c r="J62" s="340"/>
      <c r="K62" s="343"/>
    </row>
    <row r="63" spans="1:11" ht="104.25" customHeight="1" thickBot="1">
      <c r="A63" s="310">
        <f>'HỢP ĐỒNG'!A71</f>
        <v>53</v>
      </c>
      <c r="B63" s="311" t="str">
        <f>'INVOICE lam CO'!B67</f>
        <v>Roller shutter controller</v>
      </c>
      <c r="C63" s="312" t="str">
        <f>'HỢP ĐỒNG'!C71</f>
        <v>Bộ điều khiển cửa cuốn gồm 1 hộp tín hiệu trung tâm và 2 tay khiển, loại điều khiển bằng sóng hồng ngoại, vỏ bằng nhựa tổng hợp, không chứa dữ liệu, mật mã dân sự,dùng pin 23A/12V, không hiệu.Mới 100%</v>
      </c>
      <c r="D63" s="309" t="str">
        <f>'HỢP ĐỒNG'!D71</f>
        <v>SET</v>
      </c>
      <c r="E63" s="313">
        <f>'HỢP ĐỒNG'!E71</f>
        <v>200</v>
      </c>
      <c r="F63" s="314">
        <f>'HỢP ĐỒNG'!F71</f>
        <v>5.65</v>
      </c>
      <c r="G63" s="313">
        <f>'HỢP ĐỒNG'!G71</f>
        <v>1130</v>
      </c>
      <c r="H63" s="315">
        <f>'HỢP ĐỒNG'!I71</f>
        <v>85437029</v>
      </c>
      <c r="I63" s="316">
        <f>'HỢP ĐỒNG'!I71</f>
        <v>85437029</v>
      </c>
      <c r="J63" s="341"/>
      <c r="K63" s="343"/>
    </row>
    <row r="64" spans="1:11" ht="104.25" customHeight="1" thickBot="1">
      <c r="A64" s="310">
        <f>'HỢP ĐỒNG'!A72</f>
        <v>54</v>
      </c>
      <c r="B64" s="311" t="str">
        <f>'INVOICE lam CO'!B68</f>
        <v>Roller shutter controller</v>
      </c>
      <c r="C64" s="312" t="str">
        <f>'HỢP ĐỒNG'!C72</f>
        <v>Bộ điều khiển cửa cuốn gồm 1 hộp tín hiệu trung tâm và 2 tay khiển nắp trượt, loại điều khiển bằng sóng hồng ngoại, vỏ bằng nhựa tổng hợp, không chứa dữ liệu, mmds,dùng pin 23A/12V,không hiệu.Mới 100%</v>
      </c>
      <c r="D64" s="309" t="str">
        <f>'HỢP ĐỒNG'!D72</f>
        <v>SET</v>
      </c>
      <c r="E64" s="313">
        <f>'HỢP ĐỒNG'!E72</f>
        <v>500</v>
      </c>
      <c r="F64" s="314">
        <f>'HỢP ĐỒNG'!F72</f>
        <v>7.54</v>
      </c>
      <c r="G64" s="313">
        <f>'HỢP ĐỒNG'!G72</f>
        <v>3770</v>
      </c>
      <c r="H64" s="315">
        <f>'HỢP ĐỒNG'!I72</f>
        <v>85437029</v>
      </c>
      <c r="I64" s="316">
        <f>'HỢP ĐỒNG'!I72</f>
        <v>85437029</v>
      </c>
      <c r="J64" s="341"/>
      <c r="K64" s="343"/>
    </row>
    <row r="65" spans="1:11" ht="104.25" customHeight="1" thickBot="1">
      <c r="A65" s="310">
        <f>'HỢP ĐỒNG'!A73</f>
        <v>55</v>
      </c>
      <c r="B65" s="311" t="str">
        <f>'INVOICE lam CO'!B69</f>
        <v>Limit switch</v>
      </c>
      <c r="C65" s="312" t="str">
        <f>'HỢP ĐỒNG'!C73</f>
        <v>Công tắc hành trình dùng cho cửa cuốn để xác định điểm dừng khi đóng/mở cửa, đ/a: 250V, dòng điện 5A, đ/a:250V, KH: ME-9101 không hiệu, Nsx: Zhejiang Zhiyuan Factory, mới 100%</v>
      </c>
      <c r="D65" s="309" t="str">
        <f>'HỢP ĐỒNG'!D73</f>
        <v>PCE</v>
      </c>
      <c r="E65" s="313">
        <f>'HỢP ĐỒNG'!E73</f>
        <v>1000</v>
      </c>
      <c r="F65" s="314">
        <f>'HỢP ĐỒNG'!F73</f>
        <v>0.68</v>
      </c>
      <c r="G65" s="313">
        <f>'HỢP ĐỒNG'!G73</f>
        <v>680</v>
      </c>
      <c r="H65" s="315">
        <f>'HỢP ĐỒNG'!I73</f>
        <v>85365096</v>
      </c>
      <c r="I65" s="316">
        <f>'HỢP ĐỒNG'!I73</f>
        <v>85365096</v>
      </c>
      <c r="J65" s="341"/>
      <c r="K65" s="343"/>
    </row>
    <row r="66" spans="1:11" ht="104.25" customHeight="1" thickBot="1">
      <c r="A66" s="310">
        <f>'HỢP ĐỒNG'!A74</f>
        <v>56</v>
      </c>
      <c r="B66" s="311" t="str">
        <f>'INVOICE lam CO'!B70</f>
        <v>Limit switch</v>
      </c>
      <c r="C66" s="312" t="str">
        <f>'HỢP ĐỒNG'!C74</f>
        <v>Công tắc hành trình dùng cho cửa cuốn để xác định điểm dừng khi đóng/mở cửa, đ/a: 220V, dòng điện 5A, đ/a:250V, KH: ME-8108, không hiệu, Nsx: Zhejiang Zhiyuan Factory, mới 100%</v>
      </c>
      <c r="D66" s="309" t="str">
        <f>'HỢP ĐỒNG'!D74</f>
        <v>PCE</v>
      </c>
      <c r="E66" s="313">
        <f>'HỢP ĐỒNG'!E74</f>
        <v>4000</v>
      </c>
      <c r="F66" s="314">
        <f>'HỢP ĐỒNG'!F74</f>
        <v>0.75</v>
      </c>
      <c r="G66" s="313">
        <f>'HỢP ĐỒNG'!G74</f>
        <v>3000</v>
      </c>
      <c r="H66" s="315">
        <f>'HỢP ĐỒNG'!I74</f>
        <v>85365096</v>
      </c>
      <c r="I66" s="316">
        <f>'HỢP ĐỒNG'!I74</f>
        <v>85365096</v>
      </c>
      <c r="J66" s="341"/>
      <c r="K66" s="343"/>
    </row>
    <row r="67" spans="1:11" ht="104.25" customHeight="1" thickBot="1">
      <c r="A67" s="310">
        <f>'HỢP ĐỒNG'!A75</f>
        <v>57</v>
      </c>
      <c r="B67" s="311" t="str">
        <f>'INVOICE lam CO'!B71</f>
        <v>Power adapter</v>
      </c>
      <c r="C67" s="312" t="str">
        <f>'HỢP ĐỒNG'!C75</f>
        <v>Bộ nguồn adapter đa năng có núm xoay điều chỉnh điện áp dùng cho thiết bị massage điện đá nóng, model: 31220, đ/a đầu ra: 3-12V, dòng điện 2A, không hiệu, NSX: Shanghai Metal &amp; Plastic. Mới 100%</v>
      </c>
      <c r="D67" s="309" t="str">
        <f>'HỢP ĐỒNG'!D75</f>
        <v>SET</v>
      </c>
      <c r="E67" s="313">
        <f>'HỢP ĐỒNG'!E75</f>
        <v>2000</v>
      </c>
      <c r="F67" s="314">
        <f>'HỢP ĐỒNG'!F75</f>
        <v>1.7</v>
      </c>
      <c r="G67" s="313">
        <f>'HỢP ĐỒNG'!G75</f>
        <v>3400</v>
      </c>
      <c r="H67" s="315">
        <f>'HỢP ĐỒNG'!I75</f>
        <v>85044090</v>
      </c>
      <c r="I67" s="316">
        <f>'HỢP ĐỒNG'!I75</f>
        <v>85044090</v>
      </c>
      <c r="J67" s="341"/>
      <c r="K67" s="343"/>
    </row>
    <row r="68" spans="1:11" ht="104.25" customHeight="1" thickBot="1">
      <c r="A68" s="310">
        <f>'HỢP ĐỒNG'!A76</f>
        <v>58</v>
      </c>
      <c r="B68" s="311" t="str">
        <f>'INVOICE lam CO'!B72</f>
        <v>Belt</v>
      </c>
      <c r="C68" s="312" t="str">
        <f>'HỢP ĐỒNG'!C76</f>
        <v>Dây thắt lưng nam nữ đục lỗ hình ngôi sao, 4 màu đen, trắng, hồng, vàng, chất liệu nhựa giả da (PU), KT: rộng 1.8cm, dài 105cm+-10%, không hiệu, Nsx: Qingdao fashion Co., Ltd, Mới 100%</v>
      </c>
      <c r="D68" s="309" t="str">
        <f>'HỢP ĐỒNG'!D76</f>
        <v>PCE</v>
      </c>
      <c r="E68" s="313">
        <f>'HỢP ĐỒNG'!E76</f>
        <v>800</v>
      </c>
      <c r="F68" s="314">
        <f>'HỢP ĐỒNG'!F76</f>
        <v>0.17</v>
      </c>
      <c r="G68" s="313">
        <f>'HỢP ĐỒNG'!G76</f>
        <v>136</v>
      </c>
      <c r="H68" s="315">
        <f>'HỢP ĐỒNG'!I76</f>
        <v>39262090</v>
      </c>
      <c r="I68" s="316">
        <f>'HỢP ĐỒNG'!I76</f>
        <v>39262090</v>
      </c>
      <c r="J68" s="341"/>
      <c r="K68" s="343"/>
    </row>
    <row r="69" spans="1:11" ht="104.25" customHeight="1" thickBot="1">
      <c r="A69" s="310">
        <f>'HỢP ĐỒNG'!A77</f>
        <v>59</v>
      </c>
      <c r="B69" s="311" t="str">
        <f>'INVOICE lam CO'!B73</f>
        <v>Belt</v>
      </c>
      <c r="C69" s="312" t="str">
        <f>'HỢP ĐỒNG'!C77</f>
        <v>Dây thắt lưng nam nữ Y2K họa tiết ngôi sao, chất liệu nhựa gải da (PU), mặt khóa mạ màu bạc, KH:OLL403, KT: rộng 2.8cm, dài 105cm+-10%, không hiệu, Nsx: Qingdao fashion Co., Ltd, Mới 100%</v>
      </c>
      <c r="D69" s="309" t="str">
        <f>'HỢP ĐỒNG'!D77</f>
        <v>PCE</v>
      </c>
      <c r="E69" s="313">
        <f>'HỢP ĐỒNG'!E77</f>
        <v>200</v>
      </c>
      <c r="F69" s="314">
        <f>'HỢP ĐỒNG'!F77</f>
        <v>0.188</v>
      </c>
      <c r="G69" s="313">
        <f>'HỢP ĐỒNG'!G77</f>
        <v>37.6</v>
      </c>
      <c r="H69" s="315">
        <f>'HỢP ĐỒNG'!I77</f>
        <v>39262090</v>
      </c>
      <c r="I69" s="316">
        <f>'HỢP ĐỒNG'!I77</f>
        <v>39262090</v>
      </c>
      <c r="J69" s="340"/>
      <c r="K69" s="343"/>
    </row>
    <row r="70" spans="1:11" ht="104.25" customHeight="1" thickBot="1">
      <c r="A70" s="310">
        <f>'HỢP ĐỒNG'!A78</f>
        <v>60</v>
      </c>
      <c r="B70" s="311" t="str">
        <f>'INVOICE lam CO'!B74</f>
        <v>Belt</v>
      </c>
      <c r="C70" s="312" t="str">
        <f>'HỢP ĐỒNG'!C78</f>
        <v>Dây thắt lưng nam nữ Y2K chất liệu nhựa giả da (PU), KT: rộng 2.8cm, dài 105cm+-10%, KH: OLL402, không hiệu, Nsx: Qingdao fashion Co., Ltd, Mới 100%</v>
      </c>
      <c r="D70" s="309" t="str">
        <f>'HỢP ĐỒNG'!D78</f>
        <v>PCE</v>
      </c>
      <c r="E70" s="313">
        <f>'HỢP ĐỒNG'!E78</f>
        <v>100</v>
      </c>
      <c r="F70" s="314">
        <f>'HỢP ĐỒNG'!F78</f>
        <v>0.188</v>
      </c>
      <c r="G70" s="313">
        <f>'HỢP ĐỒNG'!G78</f>
        <v>18.8</v>
      </c>
      <c r="H70" s="315">
        <f>'HỢP ĐỒNG'!I78</f>
        <v>39262090</v>
      </c>
      <c r="I70" s="316">
        <f>'HỢP ĐỒNG'!I78</f>
        <v>39262090</v>
      </c>
      <c r="J70" s="341"/>
      <c r="K70" s="343"/>
    </row>
    <row r="71" spans="1:11" ht="104.25" customHeight="1" thickBot="1">
      <c r="A71" s="310">
        <f>'HỢP ĐỒNG'!A79</f>
        <v>61</v>
      </c>
      <c r="B71" s="311" t="str">
        <f>'INVOICE lam CO'!B75</f>
        <v>Toilet seat lid</v>
      </c>
      <c r="C71" s="312" t="str">
        <f>'HỢP ĐỒNG'!C79</f>
        <v>Nắp bồn cầu chất liệu nhựa tổng hợp, KT: 445*360mm+-10%, KH: K-4713T, không hiệu,NSX: Toilet Seat Manufacturer (Xiamen), mới 100%</v>
      </c>
      <c r="D71" s="309" t="str">
        <f>'HỢP ĐỒNG'!D79</f>
        <v>PCE</v>
      </c>
      <c r="E71" s="313">
        <f>'HỢP ĐỒNG'!E79</f>
        <v>100</v>
      </c>
      <c r="F71" s="314">
        <f>'HỢP ĐỒNG'!F79</f>
        <v>27.14</v>
      </c>
      <c r="G71" s="313">
        <f>'HỢP ĐỒNG'!G79</f>
        <v>2714</v>
      </c>
      <c r="H71" s="315">
        <f>'HỢP ĐỒNG'!I79</f>
        <v>39222000</v>
      </c>
      <c r="I71" s="316">
        <f>'HỢP ĐỒNG'!I79</f>
        <v>39222000</v>
      </c>
      <c r="J71" s="341"/>
      <c r="K71" s="343"/>
    </row>
    <row r="72" spans="1:11" ht="104.25" customHeight="1" thickBot="1">
      <c r="A72" s="310">
        <f>'HỢP ĐỒNG'!A80</f>
        <v>62</v>
      </c>
      <c r="B72" s="311" t="str">
        <f>'INVOICE lam CO'!B76</f>
        <v>Cleaning brush</v>
      </c>
      <c r="C72" s="312" t="str">
        <f>'HỢP ĐỒNG'!C80</f>
        <v>Bàn chải cọ rửa vệ sinh bình sữa, chất liệu nhựa tổng hợp, KT:28*6,5cm+-10%, không hiệu, NSX: Guangdong Stationery Co., Ltd.,mới 100%</v>
      </c>
      <c r="D72" s="309" t="str">
        <f>'HỢP ĐỒNG'!D80</f>
        <v>PCE</v>
      </c>
      <c r="E72" s="313">
        <f>'HỢP ĐỒNG'!E80</f>
        <v>900</v>
      </c>
      <c r="F72" s="314">
        <f>'HỢP ĐỒNG'!F80</f>
        <v>0.17</v>
      </c>
      <c r="G72" s="313">
        <f>'HỢP ĐỒNG'!G80</f>
        <v>153</v>
      </c>
      <c r="H72" s="315">
        <f>'HỢP ĐỒNG'!I80</f>
        <v>96039040</v>
      </c>
      <c r="I72" s="316">
        <f>'HỢP ĐỒNG'!I80</f>
        <v>96039040</v>
      </c>
      <c r="J72" s="341"/>
      <c r="K72" s="343"/>
    </row>
    <row r="73" spans="1:11" ht="104.25" customHeight="1" thickBot="1">
      <c r="A73" s="310">
        <f>'HỢP ĐỒNG'!A81</f>
        <v>63</v>
      </c>
      <c r="B73" s="311" t="str">
        <f>'INVOICE lam CO'!B77</f>
        <v>Door lock set</v>
      </c>
      <c r="C73" s="312" t="str">
        <f>'HỢP ĐỒNG'!C81</f>
        <v>Bộ khóa cửa dùng cho cửa cuốn gồm thân khóa, 3 chìa dẹt và phụ kiện lắp đặt, chất liệu sắt kết hợp nhựa, KT:4*20cm+-10%, không hiệu, Nsx: Zhejiang Zhiyuan Factory, mới 100%</v>
      </c>
      <c r="D73" s="309" t="str">
        <f>'HỢP ĐỒNG'!D81</f>
        <v>SET</v>
      </c>
      <c r="E73" s="313">
        <f>'HỢP ĐỒNG'!E81</f>
        <v>1000</v>
      </c>
      <c r="F73" s="314">
        <f>'HỢP ĐỒNG'!F81</f>
        <v>1.88</v>
      </c>
      <c r="G73" s="313">
        <f>'HỢP ĐỒNG'!G81</f>
        <v>1880</v>
      </c>
      <c r="H73" s="315">
        <f>'HỢP ĐỒNG'!I81</f>
        <v>83014020</v>
      </c>
      <c r="I73" s="316">
        <f>'HỢP ĐỒNG'!I81</f>
        <v>83014020</v>
      </c>
      <c r="J73" s="341"/>
      <c r="K73" s="343"/>
    </row>
    <row r="74" spans="1:11" ht="104.25" customHeight="1" thickBot="1">
      <c r="A74" s="310">
        <f>'HỢP ĐỒNG'!A82</f>
        <v>64</v>
      </c>
      <c r="B74" s="311" t="str">
        <f>'INVOICE lam CO'!B78</f>
        <v>Door lock set</v>
      </c>
      <c r="C74" s="312" t="str">
        <f>'HỢP ĐỒNG'!C82</f>
        <v>Bộ khóa cửa dùng cho cửa cuốn gồm thân khóa, 4 chìa chữ thập và phụ kiện lắp đặt, chất liệu sắt kết hợp nhựa, KT:4*20cm+-10%, không hiệu, Nsx: Zhejiang Zhiyuan Factory, mới 100%</v>
      </c>
      <c r="D74" s="309" t="str">
        <f>'HỢP ĐỒNG'!D82</f>
        <v>SET</v>
      </c>
      <c r="E74" s="313">
        <f>'HỢP ĐỒNG'!E82</f>
        <v>1000</v>
      </c>
      <c r="F74" s="314">
        <f>'HỢP ĐỒNG'!F82</f>
        <v>3.39</v>
      </c>
      <c r="G74" s="313">
        <f>'HỢP ĐỒNG'!G82</f>
        <v>3390</v>
      </c>
      <c r="H74" s="315">
        <f>'HỢP ĐỒNG'!I82</f>
        <v>83014020</v>
      </c>
      <c r="I74" s="316">
        <f>'HỢP ĐỒNG'!I82</f>
        <v>83014020</v>
      </c>
      <c r="J74" s="341"/>
      <c r="K74" s="343"/>
    </row>
    <row r="75" spans="1:11" ht="104.25" customHeight="1" thickBot="1">
      <c r="A75" s="310">
        <f>'HỢP ĐỒNG'!A83</f>
        <v>65</v>
      </c>
      <c r="B75" s="311" t="str">
        <f>'INVOICE lam CO'!B79</f>
        <v>Plastic strip roll</v>
      </c>
      <c r="C75" s="312" t="str">
        <f>'HỢP ĐỒNG'!C83</f>
        <v>Dải nhựa dạng cuộn dùng để bọc cạnh bàn chống va đập, bằng nhựa PVC xốp 1 mặt tự dính, KT: dài 200x3cm +/-10%.không hiệu.Nsx: Taizhou Plastic Mould. mới 100%</v>
      </c>
      <c r="D75" s="309" t="str">
        <f>'HỢP ĐỒNG'!D83</f>
        <v>ROL</v>
      </c>
      <c r="E75" s="313">
        <f>'HỢP ĐỒNG'!E83</f>
        <v>560</v>
      </c>
      <c r="F75" s="314">
        <f>'HỢP ĐỒNG'!F83</f>
        <v>0.188</v>
      </c>
      <c r="G75" s="313">
        <f>'HỢP ĐỒNG'!G83</f>
        <v>105.28</v>
      </c>
      <c r="H75" s="315">
        <f>'HỢP ĐỒNG'!I83</f>
        <v>39191010</v>
      </c>
      <c r="I75" s="316">
        <f>'HỢP ĐỒNG'!I83</f>
        <v>39191010</v>
      </c>
      <c r="J75" s="341"/>
      <c r="K75" s="343"/>
    </row>
    <row r="76" spans="1:11" ht="104.25" customHeight="1" thickBot="1">
      <c r="A76" s="310">
        <f>'HỢP ĐỒNG'!A84</f>
        <v>66</v>
      </c>
      <c r="B76" s="311" t="str">
        <f>'INVOICE lam CO'!B80</f>
        <v>Plastic strip roll</v>
      </c>
      <c r="C76" s="312" t="str">
        <f>'HỢP ĐỒNG'!C84</f>
        <v>Dải nhựa dạng cuộn dùng để bọc cạnh bàn chống va đập, bằng nhựa PVC xốp 1 mặt tự dính, KT: dài 200x8cm +/-10%.không hiệu.Nsx: Taizhou Plastic Mould. mới 100%</v>
      </c>
      <c r="D76" s="309" t="str">
        <f>'HỢP ĐỒNG'!D84</f>
        <v>ROL</v>
      </c>
      <c r="E76" s="313">
        <f>'HỢP ĐỒNG'!E84</f>
        <v>1500</v>
      </c>
      <c r="F76" s="314">
        <f>'HỢP ĐỒNG'!F84</f>
        <v>0.38</v>
      </c>
      <c r="G76" s="313">
        <f>'HỢP ĐỒNG'!G84</f>
        <v>570</v>
      </c>
      <c r="H76" s="315">
        <f>'HỢP ĐỒNG'!I84</f>
        <v>39191010</v>
      </c>
      <c r="I76" s="316">
        <f>'HỢP ĐỒNG'!I84</f>
        <v>39191010</v>
      </c>
      <c r="J76" s="341"/>
      <c r="K76" s="343"/>
    </row>
    <row r="77" spans="1:11" ht="104.25" customHeight="1" thickBot="1">
      <c r="A77" s="310">
        <f>'HỢP ĐỒNG'!A85</f>
        <v>67</v>
      </c>
      <c r="B77" s="311" t="str">
        <f>'INVOICE lam CO'!B81</f>
        <v>Plastic strip roll</v>
      </c>
      <c r="C77" s="312" t="str">
        <f>'HỢP ĐỒNG'!C85</f>
        <v>Dải nhựa dạng cuộn dùng để bọc cạnh bàn chống va đập, bằng nhựa PVC xốp 1 mặt tự dính, KT: dài 200x5cm +/-10%.không hiệu.Nsx: Taizhou Plastic Mould. mới 100%</v>
      </c>
      <c r="D77" s="309" t="str">
        <f>'HỢP ĐỒNG'!D85</f>
        <v>ROL</v>
      </c>
      <c r="E77" s="313">
        <f>'HỢP ĐỒNG'!E85</f>
        <v>480</v>
      </c>
      <c r="F77" s="314">
        <f>'HỢP ĐỒNG'!F85</f>
        <v>0.22600000000000001</v>
      </c>
      <c r="G77" s="313">
        <f>'HỢP ĐỒNG'!G85</f>
        <v>108.48</v>
      </c>
      <c r="H77" s="315">
        <f>'HỢP ĐỒNG'!I85</f>
        <v>39191010</v>
      </c>
      <c r="I77" s="316">
        <f>'HỢP ĐỒNG'!I85</f>
        <v>39191010</v>
      </c>
      <c r="J77" s="341"/>
      <c r="K77" s="343"/>
    </row>
    <row r="78" spans="1:11" ht="104.25" customHeight="1" thickBot="1">
      <c r="A78" s="310">
        <f>'HỢP ĐỒNG'!A86</f>
        <v>68</v>
      </c>
      <c r="B78" s="311" t="str">
        <f>'INVOICE lam CO'!B82</f>
        <v>L-shaped table corner protector</v>
      </c>
      <c r="C78" s="312" t="str">
        <f>'HỢP ĐỒNG'!C86</f>
        <v>Miếng nhựa bọc góc bàn chữ L chống va đập, bằng nhựa PVC xốp, 1 mặt tự dính, 5 cái/ túi, KT: dài 3.5x6cm +/-10%.không hiệu.Nsx: Taizhou Plastic Mould. mới 100%</v>
      </c>
      <c r="D78" s="309" t="str">
        <f>'HỢP ĐỒNG'!D86</f>
        <v>PCE</v>
      </c>
      <c r="E78" s="313">
        <f>'HỢP ĐỒNG'!E86</f>
        <v>800</v>
      </c>
      <c r="F78" s="314">
        <f>'HỢP ĐỒNG'!F86</f>
        <v>0.3</v>
      </c>
      <c r="G78" s="313">
        <f>'HỢP ĐỒNG'!G86</f>
        <v>240</v>
      </c>
      <c r="H78" s="315">
        <f>'HỢP ĐỒNG'!I86</f>
        <v>39269099</v>
      </c>
      <c r="I78" s="316">
        <f>'HỢP ĐỒNG'!I86</f>
        <v>39269099</v>
      </c>
      <c r="J78" s="340"/>
      <c r="K78" s="343"/>
    </row>
    <row r="79" spans="1:11" ht="104.25" customHeight="1" thickBot="1">
      <c r="A79" s="310">
        <f>'HỢP ĐỒNG'!A87</f>
        <v>69</v>
      </c>
      <c r="B79" s="311" t="str">
        <f>'INVOICE lam CO'!B83</f>
        <v>Oil filter</v>
      </c>
      <c r="C79" s="312" t="str">
        <f>'HỢP ĐỒNG'!C87</f>
        <v>Bộ lọc dầu dùng cho máy nén khí trục vít QX105047. KT: 114x40x230mm+-10%, lưu lượng:120-180l/p, đk ren:38mm, không hiệu. NSX: Jiangxi Sange Filter. Mới 100%</v>
      </c>
      <c r="D79" s="309" t="str">
        <f>'HỢP ĐỒNG'!D87</f>
        <v>PCE</v>
      </c>
      <c r="E79" s="313">
        <f>'HỢP ĐỒNG'!E87</f>
        <v>18</v>
      </c>
      <c r="F79" s="314">
        <f>'HỢP ĐỒNG'!F87</f>
        <v>148.9</v>
      </c>
      <c r="G79" s="313">
        <f>'HỢP ĐỒNG'!G87</f>
        <v>2680.2000000000003</v>
      </c>
      <c r="H79" s="315">
        <f>'HỢP ĐỒNG'!I87</f>
        <v>84212950</v>
      </c>
      <c r="I79" s="316">
        <f>'HỢP ĐỒNG'!I87</f>
        <v>84212950</v>
      </c>
      <c r="J79" s="341"/>
      <c r="K79" s="343"/>
    </row>
    <row r="80" spans="1:11" ht="104.25" customHeight="1" thickBot="1">
      <c r="A80" s="310">
        <f>'HỢP ĐỒNG'!A88</f>
        <v>70</v>
      </c>
      <c r="B80" s="311" t="str">
        <f>'INVOICE lam CO'!B84</f>
        <v>Oil filter</v>
      </c>
      <c r="C80" s="312" t="str">
        <f>'HỢP ĐỒNG'!C88</f>
        <v>Bộ lọc dầu dùng cho máy nén khí trục vít 04425274. KT: 1135*308*100mm+-10%, lưu lượng:120-180l/p, đk ren 38mm, không hiệu. Nsx: Ingersoll Rand. Mới 100%</v>
      </c>
      <c r="D80" s="309" t="str">
        <f>'HỢP ĐỒNG'!D88</f>
        <v>PCE</v>
      </c>
      <c r="E80" s="313">
        <f>'HỢP ĐỒNG'!E88</f>
        <v>10</v>
      </c>
      <c r="F80" s="314">
        <f>'HỢP ĐỒNG'!F88</f>
        <v>122.52</v>
      </c>
      <c r="G80" s="313">
        <f>'HỢP ĐỒNG'!G88</f>
        <v>1225.2</v>
      </c>
      <c r="H80" s="315">
        <f>'HỢP ĐỒNG'!I88</f>
        <v>84212950</v>
      </c>
      <c r="I80" s="316">
        <f>'HỢP ĐỒNG'!I88</f>
        <v>84212950</v>
      </c>
      <c r="J80" s="341"/>
      <c r="K80" s="343"/>
    </row>
    <row r="81" spans="1:11" ht="104.25" customHeight="1" thickBot="1">
      <c r="A81" s="310">
        <f>'HỢP ĐỒNG'!A89</f>
        <v>71</v>
      </c>
      <c r="B81" s="311" t="str">
        <f>'INVOICE lam CO'!B85</f>
        <v>Roller shutter controller</v>
      </c>
      <c r="C81" s="312" t="str">
        <f>'HỢP ĐỒNG'!C89</f>
        <v>Bộ điều khiển cửa cuốn gồm 1 hộp tín hiệu trung tâm và 3 tay khiển, loại điều khiển bằng sóng hồng ngoại, vỏ bằng nhựa tổng hợp, không chứa dữ liệu, MMDS, sử dụng pin 23A/12V, hiệu: Macdoor. Mới 100%</v>
      </c>
      <c r="D81" s="309" t="str">
        <f>'HỢP ĐỒNG'!D89</f>
        <v>SET</v>
      </c>
      <c r="E81" s="313">
        <f>'HỢP ĐỒNG'!E89</f>
        <v>500</v>
      </c>
      <c r="F81" s="314">
        <f>'HỢP ĐỒNG'!F89</f>
        <v>18.850000000000001</v>
      </c>
      <c r="G81" s="313">
        <f>'HỢP ĐỒNG'!G89</f>
        <v>9425</v>
      </c>
      <c r="H81" s="315">
        <f>'HỢP ĐỒNG'!I89</f>
        <v>85437029</v>
      </c>
      <c r="I81" s="316">
        <f>'HỢP ĐỒNG'!I89</f>
        <v>85437029</v>
      </c>
      <c r="J81" s="341"/>
      <c r="K81" s="343"/>
    </row>
    <row r="82" spans="1:11" ht="104.25" customHeight="1" thickBot="1">
      <c r="A82" s="310">
        <f>'HỢP ĐỒNG'!A90</f>
        <v>72</v>
      </c>
      <c r="B82" s="311" t="str">
        <f>'INVOICE lam CO'!B86</f>
        <v>Roller shutter controller</v>
      </c>
      <c r="C82" s="312" t="str">
        <f>'HỢP ĐỒNG'!C90</f>
        <v>Bộ điều khiển cửa cuốn gồm 1 hộp tín hiệu trung tâm và 2 tay khiển, loại điều khiển bằng sóng hồng ngoại, không chứa dữ liệu, MMDS, sử dụng pin 23A/12V, hiệu: Safety controller. Mới 100%</v>
      </c>
      <c r="D82" s="309" t="str">
        <f>'HỢP ĐỒNG'!D90</f>
        <v>SET</v>
      </c>
      <c r="E82" s="313">
        <f>'HỢP ĐỒNG'!E90</f>
        <v>700</v>
      </c>
      <c r="F82" s="314">
        <f>'HỢP ĐỒNG'!F90</f>
        <v>11.31</v>
      </c>
      <c r="G82" s="313">
        <f>'HỢP ĐỒNG'!G90</f>
        <v>7917</v>
      </c>
      <c r="H82" s="315">
        <f>'HỢP ĐỒNG'!I90</f>
        <v>85437029</v>
      </c>
      <c r="I82" s="316">
        <f>'HỢP ĐỒNG'!I90</f>
        <v>85437029</v>
      </c>
      <c r="J82" s="341"/>
      <c r="K82" s="343"/>
    </row>
    <row r="83" spans="1:11" ht="104.25" customHeight="1" thickBot="1">
      <c r="A83" s="310">
        <f>'HỢP ĐỒNG'!A91</f>
        <v>73</v>
      </c>
      <c r="B83" s="311" t="str">
        <f>'INVOICE lam CO'!B87</f>
        <v>Cleaning brush</v>
      </c>
      <c r="C83" s="312" t="str">
        <f>'HỢP ĐỒNG'!C91</f>
        <v>Bàn chải cọ rửa vệ sinh đa năng loại không dùng điện, tay cầm bằng nhựa mặt cọ bằng miếng bọt biển mút xốp. KT: dài 30*8*5cm +/-10, không hiệu, Nsx: Picc property and casualty Co.,ltd, mới 100%</v>
      </c>
      <c r="D83" s="309" t="str">
        <f>'HỢP ĐỒNG'!D91</f>
        <v>PCE</v>
      </c>
      <c r="E83" s="313">
        <f>'HỢP ĐỒNG'!E91</f>
        <v>980</v>
      </c>
      <c r="F83" s="314">
        <f>'HỢP ĐỒNG'!F91</f>
        <v>0.3</v>
      </c>
      <c r="G83" s="313">
        <f>'HỢP ĐỒNG'!G91</f>
        <v>294</v>
      </c>
      <c r="H83" s="315">
        <f>'HỢP ĐỒNG'!I91</f>
        <v>96039040</v>
      </c>
      <c r="I83" s="316">
        <f>'HỢP ĐỒNG'!I91</f>
        <v>96039040</v>
      </c>
      <c r="J83" s="341"/>
      <c r="K83" s="343"/>
    </row>
    <row r="84" spans="1:11" ht="104.25" customHeight="1" thickBot="1">
      <c r="A84" s="310">
        <f>'HỢP ĐỒNG'!A92</f>
        <v>74</v>
      </c>
      <c r="B84" s="311" t="str">
        <f>'INVOICE lam CO'!B88</f>
        <v>Motor</v>
      </c>
      <c r="C84" s="312" t="str">
        <f>'HỢP ĐỒNG'!C92</f>
        <v>Động cơ vạn năng dây đồng xoay chiều/1 chiều, dùng cho máy xay thực phẩm, Đ/a: 220V/24V, cs: 600w, Không hiệu. Nsx: Wenzhou Feiding Motor. Mới 100%</v>
      </c>
      <c r="D84" s="309" t="str">
        <f>'HỢP ĐỒNG'!D92</f>
        <v>PCE</v>
      </c>
      <c r="E84" s="313">
        <f>'HỢP ĐỒNG'!E92</f>
        <v>128</v>
      </c>
      <c r="F84" s="314">
        <f>'HỢP ĐỒNG'!F92</f>
        <v>6.03</v>
      </c>
      <c r="G84" s="313">
        <f>'HỢP ĐỒNG'!G92</f>
        <v>771.84</v>
      </c>
      <c r="H84" s="315">
        <f>'HỢP ĐỒNG'!I92</f>
        <v>85012012</v>
      </c>
      <c r="I84" s="316">
        <f>'HỢP ĐỒNG'!I92</f>
        <v>85012012</v>
      </c>
      <c r="J84" s="341"/>
      <c r="K84" s="343"/>
    </row>
    <row r="85" spans="1:11" ht="104.25" customHeight="1" thickBot="1">
      <c r="A85" s="310">
        <f>'HỢP ĐỒNG'!A93</f>
        <v>75</v>
      </c>
      <c r="B85" s="311" t="str">
        <f>'INVOICE lam CO'!B89</f>
        <v>Motor</v>
      </c>
      <c r="C85" s="312" t="str">
        <f>'HỢP ĐỒNG'!C93</f>
        <v>Động cơ vạn năng 7712 dây đồng xoay chiều/1 chiều dùng để chế tạo các loại máy công cụ mini cầm tay, đ/a: 220v/12V. cs: 200w, Không hiệu. Nsx: Wenzhou Feiding Motor. Mới 100%</v>
      </c>
      <c r="D85" s="309" t="str">
        <f>'HỢP ĐỒNG'!D93</f>
        <v>PCE</v>
      </c>
      <c r="E85" s="313">
        <f>'HỢP ĐỒNG'!E93</f>
        <v>1000</v>
      </c>
      <c r="F85" s="314">
        <f>'HỢP ĐỒNG'!F93</f>
        <v>1.06</v>
      </c>
      <c r="G85" s="313">
        <f>'HỢP ĐỒNG'!G93</f>
        <v>1060</v>
      </c>
      <c r="H85" s="315">
        <f>'HỢP ĐỒNG'!I93</f>
        <v>85012019</v>
      </c>
      <c r="I85" s="316">
        <f>'HỢP ĐỒNG'!I93</f>
        <v>85012019</v>
      </c>
      <c r="J85" s="341"/>
      <c r="K85" s="343"/>
    </row>
    <row r="86" spans="1:11" ht="104.25" customHeight="1" thickBot="1">
      <c r="A86" s="310">
        <f>'HỢP ĐỒNG'!A94</f>
        <v>76</v>
      </c>
      <c r="B86" s="311" t="str">
        <f>'INVOICE lam CO'!B90</f>
        <v>Plastic storage tray</v>
      </c>
      <c r="C86" s="312" t="str">
        <f>'HỢP ĐỒNG'!C94</f>
        <v>Khay nhựa tổng hợp vân kim cương, dùng để đựng đồ trang điểm, trang sức (không chứa đựng thực phẩm), KT: (24*15-18*18)cm+/-10%, không hiệu, Nsx: Dongguan Huashuo Industrial Co., Ltd., mới 100%</v>
      </c>
      <c r="D86" s="309" t="str">
        <f>'HỢP ĐỒNG'!D94</f>
        <v>PCE</v>
      </c>
      <c r="E86" s="313">
        <f>'HỢP ĐỒNG'!E94</f>
        <v>200</v>
      </c>
      <c r="F86" s="314">
        <f>'HỢP ĐỒNG'!F94</f>
        <v>1.69</v>
      </c>
      <c r="G86" s="313">
        <f>'HỢP ĐỒNG'!G94</f>
        <v>338</v>
      </c>
      <c r="H86" s="315">
        <f>'HỢP ĐỒNG'!I94</f>
        <v>39249090</v>
      </c>
      <c r="I86" s="316">
        <f>'HỢP ĐỒNG'!I94</f>
        <v>39249090</v>
      </c>
      <c r="J86" s="341"/>
      <c r="K86" s="343"/>
    </row>
    <row r="87" spans="1:11" ht="104.25" customHeight="1" thickBot="1">
      <c r="A87" s="310">
        <f>'HỢP ĐỒNG'!A95</f>
        <v>77</v>
      </c>
      <c r="B87" s="311" t="str">
        <f>'INVOICE lam CO'!B91</f>
        <v>Shoes</v>
      </c>
      <c r="C87" s="312" t="str">
        <f>'HỢP ĐỒNG'!C95</f>
        <v>Giày thể thao beier viền xanh, viền xám, đế giày bằng cao su mềm, thân và mũi giày bằng da tổng hợp phối vải lưới, màu trắng size 36-40, hiệu Beier, mới 100%</v>
      </c>
      <c r="D87" s="309" t="str">
        <f>'HỢP ĐỒNG'!D95</f>
        <v>PR</v>
      </c>
      <c r="E87" s="313">
        <f>'HỢP ĐỒNG'!E95</f>
        <v>130</v>
      </c>
      <c r="F87" s="314">
        <f>'HỢP ĐỒNG'!F95</f>
        <v>3.02</v>
      </c>
      <c r="G87" s="313">
        <f>'HỢP ĐỒNG'!G95</f>
        <v>392.6</v>
      </c>
      <c r="H87" s="315">
        <f>'HỢP ĐỒNG'!I95</f>
        <v>64051000</v>
      </c>
      <c r="I87" s="316">
        <f>'HỢP ĐỒNG'!I95</f>
        <v>64051000</v>
      </c>
      <c r="J87" s="341"/>
      <c r="K87" s="343"/>
    </row>
    <row r="88" spans="1:11" ht="104.25" customHeight="1" thickBot="1">
      <c r="A88" s="310">
        <f>'HỢP ĐỒNG'!A96</f>
        <v>78</v>
      </c>
      <c r="B88" s="311" t="str">
        <f>'INVOICE lam CO'!B92</f>
        <v>Shoes</v>
      </c>
      <c r="C88" s="312" t="str">
        <f>'HỢP ĐỒNG'!C96</f>
        <v>Giày sneaker beier kitty, đế giày bằng cao su mềm, thân và mũi giày bằng da tổng hợp phối vải lưới, 2 màu hồng , be, size 36-40, hiệu Beier, mới 100%</v>
      </c>
      <c r="D88" s="309" t="str">
        <f>'HỢP ĐỒNG'!D96</f>
        <v>PR</v>
      </c>
      <c r="E88" s="313">
        <f>'HỢP ĐỒNG'!E96</f>
        <v>75</v>
      </c>
      <c r="F88" s="314">
        <f>'HỢP ĐỒNG'!F96</f>
        <v>3.02</v>
      </c>
      <c r="G88" s="313">
        <f>'HỢP ĐỒNG'!G96</f>
        <v>226.5</v>
      </c>
      <c r="H88" s="315">
        <f>'HỢP ĐỒNG'!I96</f>
        <v>64051000</v>
      </c>
      <c r="I88" s="316">
        <f>'HỢP ĐỒNG'!I96</f>
        <v>64051000</v>
      </c>
      <c r="J88" s="341"/>
      <c r="K88" s="343"/>
    </row>
    <row r="89" spans="1:11" ht="104.25" customHeight="1" thickBot="1">
      <c r="A89" s="310">
        <f>'HỢP ĐỒNG'!A97</f>
        <v>79</v>
      </c>
      <c r="B89" s="311" t="str">
        <f>'INVOICE lam CO'!B93</f>
        <v>Ballet flats</v>
      </c>
      <c r="C89" s="312" t="str">
        <f>'HỢP ĐỒNG'!C97</f>
        <v>Giày búp bê nữ beier, đế giày bằng cao su mềm, thân và mũi giày bằng da tổng hợp phối vải lưới, 2 màu be, trắng size 36-40, hiệu Beier, mới 100%</v>
      </c>
      <c r="D89" s="309" t="str">
        <f>'HỢP ĐỒNG'!D97</f>
        <v>PR</v>
      </c>
      <c r="E89" s="313">
        <f>'HỢP ĐỒNG'!E97</f>
        <v>180</v>
      </c>
      <c r="F89" s="314">
        <f>'HỢP ĐỒNG'!F97</f>
        <v>3.02</v>
      </c>
      <c r="G89" s="313">
        <f>'HỢP ĐỒNG'!G97</f>
        <v>543.6</v>
      </c>
      <c r="H89" s="315">
        <f>'HỢP ĐỒNG'!I97</f>
        <v>64051000</v>
      </c>
      <c r="I89" s="316">
        <f>'HỢP ĐỒNG'!I97</f>
        <v>64051000</v>
      </c>
      <c r="J89" s="341"/>
      <c r="K89" s="343"/>
    </row>
    <row r="90" spans="1:11" ht="104.25" customHeight="1" thickBot="1">
      <c r="A90" s="310">
        <f>'HỢP ĐỒNG'!A98</f>
        <v>80</v>
      </c>
      <c r="B90" s="311" t="str">
        <f>'INVOICE lam CO'!B94</f>
        <v>Mechanical thermo hygrometer</v>
      </c>
      <c r="C90" s="312" t="str">
        <f>'HỢP ĐỒNG'!C98</f>
        <v>Đồng hồ đo nhiệt độ và độ ẩm cơ học (Th600B) đo không khí trong phòng, không dùng điện, chất liệu inox. KT: (20.5*16)cm+/-10%, hiệu: ANYMETRE, mới 100%</v>
      </c>
      <c r="D90" s="309" t="str">
        <f>'HỢP ĐỒNG'!D98</f>
        <v>PCE</v>
      </c>
      <c r="E90" s="313">
        <f>'HỢP ĐỒNG'!E98</f>
        <v>400</v>
      </c>
      <c r="F90" s="314">
        <f>'HỢP ĐỒNG'!F98</f>
        <v>1.88</v>
      </c>
      <c r="G90" s="313">
        <f>'HỢP ĐỒNG'!G98</f>
        <v>752</v>
      </c>
      <c r="H90" s="315">
        <f>'HỢP ĐỒNG'!I98</f>
        <v>90258000</v>
      </c>
      <c r="I90" s="316">
        <f>'HỢP ĐỒNG'!I98</f>
        <v>90258000</v>
      </c>
      <c r="J90" s="341"/>
      <c r="K90" s="343"/>
    </row>
    <row r="91" spans="1:11" ht="104.25" customHeight="1" thickBot="1">
      <c r="A91" s="310">
        <f>'HỢP ĐỒNG'!A99</f>
        <v>81</v>
      </c>
      <c r="B91" s="311" t="str">
        <f>'INVOICE lam CO'!B95</f>
        <v>Flower frog</v>
      </c>
      <c r="C91" s="312" t="str">
        <f>'HỢP ĐỒNG'!C99</f>
        <v>Đế nhựa dùng để cắm hoa bằng nhựa ABS, KT: 6.8*4.4cm, không hiệu, NSX: Ningbo Bonais Stationery Co., Ltd., mới 100%</v>
      </c>
      <c r="D91" s="309" t="str">
        <f>'HỢP ĐỒNG'!D99</f>
        <v>PCE</v>
      </c>
      <c r="E91" s="313">
        <f>'HỢP ĐỒNG'!E99</f>
        <v>1600</v>
      </c>
      <c r="F91" s="314">
        <f>'HỢP ĐỒNG'!F99</f>
        <v>9.4E-2</v>
      </c>
      <c r="G91" s="313">
        <f>'HỢP ĐỒNG'!G99</f>
        <v>150.4</v>
      </c>
      <c r="H91" s="315">
        <f>'HỢP ĐỒNG'!I99</f>
        <v>39269099</v>
      </c>
      <c r="I91" s="316">
        <f>'HỢP ĐỒNG'!I99</f>
        <v>39269099</v>
      </c>
      <c r="J91" s="341"/>
      <c r="K91" s="343"/>
    </row>
    <row r="92" spans="1:11" ht="104.25" customHeight="1" thickBot="1">
      <c r="A92" s="310">
        <f>'HỢP ĐỒNG'!A100</f>
        <v>82</v>
      </c>
      <c r="B92" s="311" t="str">
        <f>'INVOICE lam CO'!B96</f>
        <v>Cargo net</v>
      </c>
      <c r="C92" s="312" t="str">
        <f>'HỢP ĐỒNG'!C100</f>
        <v>Tấm lưới chắn thùng xe container bằng sợi vải dù polyester, KT:2.4m*2.6m+-10%, không hiệu, NSX: Shandong Zhongxian Rope &amp; Net Co., Ltd, mới 100%</v>
      </c>
      <c r="D92" s="309" t="str">
        <f>'HỢP ĐỒNG'!D100</f>
        <v>PCE</v>
      </c>
      <c r="E92" s="313">
        <f>'HỢP ĐỒNG'!E100</f>
        <v>2768</v>
      </c>
      <c r="F92" s="314">
        <f>'HỢP ĐỒNG'!F100</f>
        <v>1.32</v>
      </c>
      <c r="G92" s="313">
        <f>'HỢP ĐỒNG'!G100</f>
        <v>3653.76</v>
      </c>
      <c r="H92" s="315">
        <f>'HỢP ĐỒNG'!I100</f>
        <v>56081990</v>
      </c>
      <c r="I92" s="316">
        <f>'HỢP ĐỒNG'!I100</f>
        <v>56081990</v>
      </c>
      <c r="J92" s="341"/>
      <c r="K92" s="343"/>
    </row>
    <row r="93" spans="1:11" ht="104.25" customHeight="1" thickBot="1">
      <c r="A93" s="310">
        <f>'HỢP ĐỒNG'!A101</f>
        <v>83</v>
      </c>
      <c r="B93" s="311" t="str">
        <f>'INVOICE lam CO'!B97</f>
        <v>LED half-moon lamp</v>
      </c>
      <c r="C93" s="312" t="str">
        <f>'HỢP ĐỒNG'!C101</f>
        <v>Đèn vòm bán nguyệt chuyên dụng lắp trên bàn làm nail, spa, sử dụng nguồn sáng đi-ốt phát quang LED không phải quang điện, model:2415. CS:36W/AC100-240V. Không hiệu. NSX:Zhongshan Ledlighning. Mới 100%</v>
      </c>
      <c r="D93" s="309" t="str">
        <f>'HỢP ĐỒNG'!D101</f>
        <v>PCE</v>
      </c>
      <c r="E93" s="313">
        <f>'HỢP ĐỒNG'!E101</f>
        <v>600</v>
      </c>
      <c r="F93" s="314">
        <f>'HỢP ĐỒNG'!F101</f>
        <v>20.73</v>
      </c>
      <c r="G93" s="313">
        <f>'HỢP ĐỒNG'!G101</f>
        <v>12438</v>
      </c>
      <c r="H93" s="315">
        <f>'HỢP ĐỒNG'!I101</f>
        <v>94054290</v>
      </c>
      <c r="I93" s="316">
        <f>'HỢP ĐỒNG'!I101</f>
        <v>94054290</v>
      </c>
      <c r="J93" s="341"/>
      <c r="K93" s="343"/>
    </row>
    <row r="94" spans="1:11" ht="104.25" customHeight="1" thickBot="1">
      <c r="A94" s="310">
        <f>'HỢP ĐỒNG'!A102</f>
        <v>84</v>
      </c>
      <c r="B94" s="311" t="str">
        <f>'INVOICE lam CO'!B98</f>
        <v>Audio cable</v>
      </c>
      <c r="C94" s="312" t="str">
        <f>'HỢP ĐỒNG'!C102</f>
        <v>Dây cáp truyền dẫn tín hiệu âm thanh cho tivi đã gắn đầu nối dài 1.8m, không phải cáp điện, không dùng cho viễn thông, lõi nhôm, cách điện bằng nhựa, dòng 48V, ĐK lõi 1mm.Không hiệu.Mới 100%</v>
      </c>
      <c r="D94" s="309" t="str">
        <f>'HỢP ĐỒNG'!D102</f>
        <v>PCE</v>
      </c>
      <c r="E94" s="313">
        <f>'HỢP ĐỒNG'!E102</f>
        <v>2830</v>
      </c>
      <c r="F94" s="314">
        <f>'HỢP ĐỒNG'!F102</f>
        <v>0.75</v>
      </c>
      <c r="G94" s="313">
        <f>'HỢP ĐỒNG'!G102</f>
        <v>2122.5</v>
      </c>
      <c r="H94" s="315">
        <f>'HỢP ĐỒNG'!I102</f>
        <v>85444299</v>
      </c>
      <c r="I94" s="316">
        <f>'HỢP ĐỒNG'!I102</f>
        <v>85444299</v>
      </c>
      <c r="J94" s="341"/>
      <c r="K94" s="343"/>
    </row>
    <row r="95" spans="1:11" ht="104.25" customHeight="1" thickBot="1">
      <c r="A95" s="310">
        <f>'HỢP ĐỒNG'!A103</f>
        <v>85</v>
      </c>
      <c r="B95" s="311" t="str">
        <f>'INVOICE lam CO'!B99</f>
        <v>Audio cable</v>
      </c>
      <c r="C95" s="312" t="str">
        <f>'HỢP ĐỒNG'!C103</f>
        <v>Dây cáp truyền dẫn tín hiệu âm thanh cho loa và micro, không phải cáp điện, không dùng cho viễn thông, lõi đồng kép, cách điện bằng nhựa, Đk lõi 1mm, 100m/cuộn. Đ/a: 48V.Hiệu Huicheng, mới 100%</v>
      </c>
      <c r="D95" s="309" t="str">
        <f>'HỢP ĐỒNG'!D103</f>
        <v>ROL</v>
      </c>
      <c r="E95" s="313">
        <f>'HỢP ĐỒNG'!E103</f>
        <v>52</v>
      </c>
      <c r="F95" s="314">
        <f>'HỢP ĐỒNG'!F103</f>
        <v>26.39</v>
      </c>
      <c r="G95" s="313">
        <f>'HỢP ĐỒNG'!G103</f>
        <v>1372.28</v>
      </c>
      <c r="H95" s="315">
        <f>'HỢP ĐỒNG'!I103</f>
        <v>85444299</v>
      </c>
      <c r="I95" s="316">
        <f>'HỢP ĐỒNG'!I103</f>
        <v>85444299</v>
      </c>
      <c r="J95" s="341"/>
      <c r="K95" s="343"/>
    </row>
    <row r="96" spans="1:11" ht="104.25" customHeight="1" thickBot="1">
      <c r="A96" s="310">
        <f>'HỢP ĐỒNG'!A104</f>
        <v>86</v>
      </c>
      <c r="B96" s="311" t="str">
        <f>'INVOICE lam CO'!B100</f>
        <v>TV remote control</v>
      </c>
      <c r="C96" s="312" t="str">
        <f>'HỢP ĐỒNG'!C104</f>
        <v>Điều khiển tivi từ xa,loại điều khiển bằng sóng hồng ngoại, vỏ bằng nhựa tổng hợp, KT:56*50*34mm, dùng pin 1.5V. Không hiệu. Nsx: Zhiyuan Desheng Co.,Ltd. Mới 100%</v>
      </c>
      <c r="D96" s="309" t="str">
        <f>'HỢP ĐỒNG'!D104</f>
        <v>PCE</v>
      </c>
      <c r="E96" s="313">
        <f>'HỢP ĐỒNG'!E104</f>
        <v>350</v>
      </c>
      <c r="F96" s="314">
        <f>'HỢP ĐỒNG'!F104</f>
        <v>0.45</v>
      </c>
      <c r="G96" s="313">
        <f>'HỢP ĐỒNG'!G104</f>
        <v>157.5</v>
      </c>
      <c r="H96" s="315">
        <f>'HỢP ĐỒNG'!I104</f>
        <v>85437029</v>
      </c>
      <c r="I96" s="316">
        <f>'HỢP ĐỒNG'!I104</f>
        <v>85437029</v>
      </c>
      <c r="J96" s="341"/>
      <c r="K96" s="343"/>
    </row>
    <row r="97" spans="1:11" ht="104.25" customHeight="1" thickBot="1">
      <c r="A97" s="310">
        <f>'HỢP ĐỒNG'!A105</f>
        <v>87</v>
      </c>
      <c r="B97" s="311" t="str">
        <f>'INVOICE lam CO'!B101</f>
        <v>TV remote control</v>
      </c>
      <c r="C97" s="312" t="str">
        <f>'HỢP ĐỒNG'!C105</f>
        <v>Điều khiển tivi từ xa dùng pin AAA, loại điều khiển bằng sóng hồng ngoại, vỏ bằng nhựa tổng hợp. KT: 15-25*4.5*2cm+/-10%. Không hiệu. Nsx: Zhejiang Zhiyuan Factory. Mới 100%</v>
      </c>
      <c r="D97" s="309" t="str">
        <f>'HỢP ĐỒNG'!D105</f>
        <v>PCE</v>
      </c>
      <c r="E97" s="313">
        <f>'HỢP ĐỒNG'!E105</f>
        <v>150</v>
      </c>
      <c r="F97" s="314">
        <f>'HỢP ĐỒNG'!F105</f>
        <v>0.93</v>
      </c>
      <c r="G97" s="313">
        <f>'HỢP ĐỒNG'!G105</f>
        <v>139.5</v>
      </c>
      <c r="H97" s="315">
        <f>'HỢP ĐỒNG'!I105</f>
        <v>85437029</v>
      </c>
      <c r="I97" s="316">
        <f>'HỢP ĐỒNG'!I105</f>
        <v>85437029</v>
      </c>
      <c r="J97" s="341"/>
      <c r="K97" s="343"/>
    </row>
    <row r="98" spans="1:11" ht="104.25" customHeight="1" thickBot="1">
      <c r="A98" s="310">
        <f>'HỢP ĐỒNG'!A106</f>
        <v>88</v>
      </c>
      <c r="B98" s="311" t="str">
        <f>'INVOICE lam CO'!B102</f>
        <v>Audio converter</v>
      </c>
      <c r="C98" s="312" t="str">
        <f>'HỢP ĐỒNG'!C106</f>
        <v>Bộ chuyển đổi âm thanh từ loa sang TV(bộ mã hóa),không kết hợp với bộ thu,vỏ bằng nhôm.Đ/a:12V,kí hiệu AQ5601 dòng điện 1A.Hiệu CHOSEAL.Mới 100%</v>
      </c>
      <c r="D98" s="309" t="str">
        <f>'HỢP ĐỒNG'!D106</f>
        <v>PCE</v>
      </c>
      <c r="E98" s="313">
        <f>'HỢP ĐỒNG'!E106</f>
        <v>250</v>
      </c>
      <c r="F98" s="314">
        <f>'HỢP ĐỒNG'!F106</f>
        <v>2.2599999999999998</v>
      </c>
      <c r="G98" s="313">
        <f>'HỢP ĐỒNG'!G106</f>
        <v>565</v>
      </c>
      <c r="H98" s="315">
        <f>'HỢP ĐỒNG'!I106</f>
        <v>85437090</v>
      </c>
      <c r="I98" s="316">
        <f>'HỢP ĐỒNG'!I106</f>
        <v>85437090</v>
      </c>
      <c r="J98" s="341"/>
      <c r="K98" s="343"/>
    </row>
    <row r="99" spans="1:11" ht="104.25" customHeight="1" thickBot="1">
      <c r="A99" s="310">
        <f>'HỢP ĐỒNG'!A107</f>
        <v>89</v>
      </c>
      <c r="B99" s="311" t="str">
        <f>'INVOICE lam CO'!B103</f>
        <v>Connector</v>
      </c>
      <c r="C99" s="312" t="str">
        <f>'HỢP ĐỒNG'!C107</f>
        <v>Đầu nối (Giắc cắm) kết nối thiết bị âm thanh với micro, chất liệu bằng nhựa lõi đồng, KT: 8*3*33mm+-10%, dòng điện 1A, Không hiệu. NSX: Zhongshan Led lighning. Mới 100%.</v>
      </c>
      <c r="D99" s="309" t="str">
        <f>'HỢP ĐỒNG'!D107</f>
        <v>PCE</v>
      </c>
      <c r="E99" s="313">
        <f>'HỢP ĐỒNG'!E107</f>
        <v>500</v>
      </c>
      <c r="F99" s="314">
        <f>'HỢP ĐỒNG'!F107</f>
        <v>0.26</v>
      </c>
      <c r="G99" s="313">
        <f>'HỢP ĐỒNG'!G107</f>
        <v>130</v>
      </c>
      <c r="H99" s="315">
        <f>'HỢP ĐỒNG'!I107</f>
        <v>85369094</v>
      </c>
      <c r="I99" s="316">
        <f>'HỢP ĐỒNG'!I107</f>
        <v>85369094</v>
      </c>
      <c r="J99" s="341"/>
      <c r="K99" s="343"/>
    </row>
    <row r="100" spans="1:11" ht="104.25" customHeight="1" thickBot="1">
      <c r="A100" s="310">
        <f>'HỢP ĐỒNG'!A108</f>
        <v>90</v>
      </c>
      <c r="B100" s="311" t="str">
        <f>'INVOICE lam CO'!B104</f>
        <v>Full-body massage pad</v>
      </c>
      <c r="C100" s="312" t="str">
        <f>'HỢP ĐỒNG'!C108</f>
        <v>Đệm ghế massage toàn thân, model: LX-075E, Cs: 12V/36W, hoạt động bằng điện, chất liệu chính mút xốp bọc vải giả da, KT: 105*61.5*41.5cm+-10%, không hiệu. NSX: Shenzhen Dongjilian Electronics,mới 100%</v>
      </c>
      <c r="D100" s="309" t="str">
        <f>'HỢP ĐỒNG'!D108</f>
        <v>PCE</v>
      </c>
      <c r="E100" s="313">
        <f>'HỢP ĐỒNG'!E108</f>
        <v>100</v>
      </c>
      <c r="F100" s="314">
        <f>'HỢP ĐỒNG'!F108</f>
        <v>9.42</v>
      </c>
      <c r="G100" s="313">
        <f>'HỢP ĐỒNG'!G108</f>
        <v>942</v>
      </c>
      <c r="H100" s="315">
        <f>'HỢP ĐỒNG'!I108</f>
        <v>90191010</v>
      </c>
      <c r="I100" s="316">
        <f>'HỢP ĐỒNG'!I108</f>
        <v>90191010</v>
      </c>
      <c r="J100" s="341"/>
      <c r="K100" s="343"/>
    </row>
    <row r="101" spans="1:11" ht="104.25" customHeight="1" thickBot="1">
      <c r="A101" s="310">
        <f>'HỢP ĐỒNG'!A109</f>
        <v>91</v>
      </c>
      <c r="B101" s="311" t="str">
        <f>'INVOICE lam CO'!B105</f>
        <v>Gear reduction motor</v>
      </c>
      <c r="C101" s="312" t="str">
        <f>'HỢP ĐỒNG'!C109</f>
        <v>Động cơ giảm tốc 1 chiều (không phải động cơ bước) dùng tạo chuyển động cho lò quay vịt. Điện áp: 6-24V/150W. Model: ZYT61 6-24VDC. Tốc độ 15-60 vòng/phút, không hiệu. NSX: PINGYANG JINGE. mới 100%</v>
      </c>
      <c r="D101" s="309" t="str">
        <f>'HỢP ĐỒNG'!D109</f>
        <v>PCE</v>
      </c>
      <c r="E101" s="313">
        <f>'HỢP ĐỒNG'!E109</f>
        <v>370</v>
      </c>
      <c r="F101" s="314">
        <f>'HỢP ĐỒNG'!F109</f>
        <v>0.68</v>
      </c>
      <c r="G101" s="313">
        <f>'HỢP ĐỒNG'!G109</f>
        <v>251.60000000000002</v>
      </c>
      <c r="H101" s="315">
        <f>'HỢP ĐỒNG'!I109</f>
        <v>85013170</v>
      </c>
      <c r="I101" s="316">
        <f>'HỢP ĐỒNG'!I109</f>
        <v>85013170</v>
      </c>
      <c r="J101" s="341"/>
      <c r="K101" s="343"/>
    </row>
    <row r="102" spans="1:11" ht="104.25" customHeight="1" thickBot="1">
      <c r="A102" s="310">
        <f>'HỢP ĐỒNG'!A110</f>
        <v>92</v>
      </c>
      <c r="B102" s="311" t="str">
        <f>'INVOICE lam CO'!B106</f>
        <v>Plastic tray</v>
      </c>
      <c r="C102" s="312" t="str">
        <f>'HỢP ĐỒNG'!C110</f>
        <v>Động cơ giảm tốc 1 chiều (không phải động cơ bước) dùng tạo chuyển động cho lò quay vịt. Điện áp: 6-24V/150W. Model: ZYT61 6-24VDC. Tốc độ 15-60 vòng/phút, không hiệu. NSX: PINGYANG JINGE. mới 100%</v>
      </c>
      <c r="D102" s="309" t="str">
        <f>'HỢP ĐỒNG'!D110</f>
        <v>PCE</v>
      </c>
      <c r="E102" s="313">
        <f>'HỢP ĐỒNG'!E110</f>
        <v>800</v>
      </c>
      <c r="F102" s="314">
        <f>'HỢP ĐỒNG'!F110</f>
        <v>0.6</v>
      </c>
      <c r="G102" s="313">
        <f>'HỢP ĐỒNG'!G110</f>
        <v>480</v>
      </c>
      <c r="H102" s="315">
        <f>'HỢP ĐỒNG'!I110</f>
        <v>39241099</v>
      </c>
      <c r="I102" s="316">
        <f>'HỢP ĐỒNG'!I110</f>
        <v>39241099</v>
      </c>
      <c r="J102" s="341"/>
      <c r="K102" s="343"/>
    </row>
    <row r="103" spans="1:11" ht="104.25" customHeight="1" thickBot="1">
      <c r="A103" s="310">
        <f>'HỢP ĐỒNG'!A111</f>
        <v>93</v>
      </c>
      <c r="B103" s="311" t="str">
        <f>'INVOICE lam CO'!B107</f>
        <v>Gears</v>
      </c>
      <c r="C103" s="312" t="str">
        <f>'HỢP ĐỒNG'!C111</f>
        <v>Bánh răng của máy may viền bao, chất liệu bằng sắt, KT:(6*11)cm +/-10%, không hiệu, NSX: Cixi Hongge Electric Appliance Co., Ltd, mới 100%</v>
      </c>
      <c r="D103" s="309" t="str">
        <f>'HỢP ĐỒNG'!D111</f>
        <v>PCE</v>
      </c>
      <c r="E103" s="313">
        <f>'HỢP ĐỒNG'!E111</f>
        <v>50</v>
      </c>
      <c r="F103" s="314">
        <f>'HỢP ĐỒNG'!F111</f>
        <v>15.83</v>
      </c>
      <c r="G103" s="313">
        <f>'HỢP ĐỒNG'!G111</f>
        <v>791.5</v>
      </c>
      <c r="H103" s="315">
        <f>'HỢP ĐỒNG'!I111</f>
        <v>84834090</v>
      </c>
      <c r="I103" s="316">
        <f>'HỢP ĐỒNG'!I111</f>
        <v>84834090</v>
      </c>
      <c r="J103" s="341"/>
      <c r="K103" s="343"/>
    </row>
    <row r="104" spans="1:11" ht="104.25" customHeight="1" thickBot="1">
      <c r="A104" s="310">
        <f>'HỢP ĐỒNG'!A112</f>
        <v>94</v>
      </c>
      <c r="B104" s="311" t="str">
        <f>'INVOICE lam CO'!B108</f>
        <v>Bag sealing die set</v>
      </c>
      <c r="C104" s="312" t="str">
        <f>'HỢP ĐỒNG'!C112</f>
        <v>Bộ phận của máy may viền túi vải PP không dệt: Bộ khuôn dán viền túi gồm tấm khuôn và cụm khuôn ép,bằng thép hợp kim. KT dài 300mm+-10%, không hiệu. NSX: Cixi Hongge Electric Appliance, mới 100%</v>
      </c>
      <c r="D104" s="309" t="str">
        <f>'HỢP ĐỒNG'!D112</f>
        <v>SET</v>
      </c>
      <c r="E104" s="313">
        <f>'HỢP ĐỒNG'!E112</f>
        <v>3</v>
      </c>
      <c r="F104" s="314">
        <f>'HỢP ĐỒNG'!F112</f>
        <v>546.61</v>
      </c>
      <c r="G104" s="313">
        <f>'HỢP ĐỒNG'!G112</f>
        <v>1639.83</v>
      </c>
      <c r="H104" s="315">
        <f>'HỢP ĐỒNG'!I112</f>
        <v>84529099</v>
      </c>
      <c r="I104" s="316">
        <f>'HỢP ĐỒNG'!I112</f>
        <v>84529099</v>
      </c>
      <c r="J104" s="341"/>
      <c r="K104" s="343"/>
    </row>
    <row r="105" spans="1:11" ht="104.25" customHeight="1" thickBot="1">
      <c r="A105" s="310">
        <f>'HỢP ĐỒNG'!A113</f>
        <v>95</v>
      </c>
      <c r="B105" s="311" t="str">
        <f>'INVOICE lam CO'!B109</f>
        <v>Roller</v>
      </c>
      <c r="C105" s="312" t="str">
        <f>'HỢP ĐỒNG'!C113</f>
        <v>Bộ phận của máy may viền túi vải PP không dệt: Con lăn dùng để tạo đường hàn biên, KT: 52*23mm+-10%, không hiệu, NSX: Cixi Hongge Electric Appliance Co., Ltd, mới 100%</v>
      </c>
      <c r="D105" s="309" t="str">
        <f>'HỢP ĐỒNG'!D113</f>
        <v>PCE</v>
      </c>
      <c r="E105" s="313">
        <f>'HỢP ĐỒNG'!E113</f>
        <v>10</v>
      </c>
      <c r="F105" s="314">
        <f>'HỢP ĐỒNG'!F113</f>
        <v>16.96</v>
      </c>
      <c r="G105" s="313">
        <f>'HỢP ĐỒNG'!G113</f>
        <v>169.60000000000002</v>
      </c>
      <c r="H105" s="315">
        <f>'HỢP ĐỒNG'!I113</f>
        <v>84529099</v>
      </c>
      <c r="I105" s="316">
        <f>'HỢP ĐỒNG'!I113</f>
        <v>84529099</v>
      </c>
      <c r="J105" s="341"/>
      <c r="K105" s="343"/>
    </row>
    <row r="106" spans="1:11" ht="104.25" customHeight="1" thickBot="1">
      <c r="A106" s="310">
        <f>'HỢP ĐỒNG'!A114</f>
        <v>96</v>
      </c>
      <c r="B106" s="311" t="str">
        <f>'INVOICE lam CO'!B110</f>
        <v>Artificial flower petals</v>
      </c>
      <c r="C106" s="312" t="str">
        <f>'HỢP ĐỒNG'!C114</f>
        <v>Cánh hoa nhân tạo bằng giấy sáp, KT: đk 3.5-4.5cm+-10%, không hiệu. Nsx: Guangdong Daming Decoration Co., Ltd, Mới 100%</v>
      </c>
      <c r="D106" s="309" t="str">
        <f>'HỢP ĐỒNG'!D114</f>
        <v>KGM</v>
      </c>
      <c r="E106" s="313">
        <f>'HỢP ĐỒNG'!E114</f>
        <v>100</v>
      </c>
      <c r="F106" s="314">
        <f>'HỢP ĐỒNG'!F114</f>
        <v>0.8</v>
      </c>
      <c r="G106" s="313">
        <f>'HỢP ĐỒNG'!G114</f>
        <v>80</v>
      </c>
      <c r="H106" s="315">
        <f>'HỢP ĐỒNG'!I114</f>
        <v>67021000</v>
      </c>
      <c r="I106" s="316">
        <f>'HỢP ĐỒNG'!I114</f>
        <v>67021000</v>
      </c>
      <c r="J106" s="341"/>
      <c r="K106" s="343"/>
    </row>
    <row r="107" spans="1:11" ht="104.25" customHeight="1" thickBot="1">
      <c r="A107" s="310">
        <f>'HỢP ĐỒNG'!A115</f>
        <v>97</v>
      </c>
      <c r="B107" s="311" t="str">
        <f>'INVOICE lam CO'!B111</f>
        <v>TV remote control</v>
      </c>
      <c r="C107" s="312" t="str">
        <f>'HỢP ĐỒNG'!C115</f>
        <v>Điều khiển tivi từ xa thông minh, loại điều khiển bằng sóng hồng ngoại, vỏ bằng nhựa tổng hợp. Không hiệu. Nsx: Qingdao Desheng Co.,Ltd. Mới 100%</v>
      </c>
      <c r="D107" s="309" t="str">
        <f>'HỢP ĐỒNG'!D115</f>
        <v>PCE</v>
      </c>
      <c r="E107" s="313">
        <f>'HỢP ĐỒNG'!E115</f>
        <v>1900</v>
      </c>
      <c r="F107" s="314">
        <f>'HỢP ĐỒNG'!F115</f>
        <v>0.75</v>
      </c>
      <c r="G107" s="313">
        <f>'HỢP ĐỒNG'!G115</f>
        <v>1425</v>
      </c>
      <c r="H107" s="315">
        <f>'HỢP ĐỒNG'!I115</f>
        <v>85437029</v>
      </c>
      <c r="I107" s="316">
        <f>'HỢP ĐỒNG'!I115</f>
        <v>85437029</v>
      </c>
      <c r="J107" s="342"/>
      <c r="K107" s="343"/>
    </row>
    <row r="108" spans="1:11" ht="104.25" customHeight="1" thickBot="1">
      <c r="A108" s="310">
        <f>'HỢP ĐỒNG'!A116</f>
        <v>98</v>
      </c>
      <c r="B108" s="311" t="str">
        <f>'INVOICE lam CO'!B112</f>
        <v>TV remote control</v>
      </c>
      <c r="C108" s="312" t="str">
        <f>'HỢP ĐỒNG'!C116</f>
        <v>Điều khiển tivi từ xa dùng pin AAA,loại điều khiển bằng sóng hồng ngoại, vỏ bằng nhựa tổng hợp. Không hiệu. Nsx: Guangdong Co.,Ltd. Mới 100%</v>
      </c>
      <c r="D108" s="309" t="str">
        <f>'HỢP ĐỒNG'!D116</f>
        <v>PCE</v>
      </c>
      <c r="E108" s="313">
        <f>'HỢP ĐỒNG'!E116</f>
        <v>6800</v>
      </c>
      <c r="F108" s="314">
        <f>'HỢP ĐỒNG'!F116</f>
        <v>0.34</v>
      </c>
      <c r="G108" s="313">
        <f>'HỢP ĐỒNG'!G116</f>
        <v>2312</v>
      </c>
      <c r="H108" s="315">
        <f>'HỢP ĐỒNG'!I116</f>
        <v>85437029</v>
      </c>
      <c r="I108" s="316">
        <f>'HỢP ĐỒNG'!I116</f>
        <v>85437029</v>
      </c>
      <c r="J108" s="341"/>
      <c r="K108" s="343"/>
    </row>
    <row r="109" spans="1:11" ht="104.25" customHeight="1" thickBot="1">
      <c r="A109" s="310">
        <f>'HỢP ĐỒNG'!A117</f>
        <v>99</v>
      </c>
      <c r="B109" s="311" t="str">
        <f>'INVOICE lam CO'!B113</f>
        <v>Air conditioner remote control</v>
      </c>
      <c r="C109" s="312" t="str">
        <f>'HỢP ĐỒNG'!C117</f>
        <v>Điều khiển điều hòa từ xa, điều khiển bằng sóng hồng ngoại, vỏ bằng nhựa PVC. Không hiệu. Nsx: Shanghai shanghua electronic Co.,Ltd. Mới 100%</v>
      </c>
      <c r="D109" s="309" t="str">
        <f>'HỢP ĐỒNG'!D117</f>
        <v>PCE</v>
      </c>
      <c r="E109" s="313">
        <f>'HỢP ĐỒNG'!E117</f>
        <v>3450</v>
      </c>
      <c r="F109" s="314">
        <f>'HỢP ĐỒNG'!F117</f>
        <v>0.56999999999999995</v>
      </c>
      <c r="G109" s="313">
        <f>'HỢP ĐỒNG'!G117</f>
        <v>1966.4999999999998</v>
      </c>
      <c r="H109" s="315">
        <f>'HỢP ĐỒNG'!I117</f>
        <v>85437029</v>
      </c>
      <c r="I109" s="316">
        <f>'HỢP ĐỒNG'!I117</f>
        <v>85437029</v>
      </c>
      <c r="J109" s="342"/>
      <c r="K109" s="343"/>
    </row>
    <row r="110" spans="1:11" ht="104.25" customHeight="1" thickBot="1">
      <c r="A110" s="310">
        <f>'HỢP ĐỒNG'!A118</f>
        <v>100</v>
      </c>
      <c r="B110" s="311" t="str">
        <f>'INVOICE lam CO'!B114</f>
        <v>Concrete cutter</v>
      </c>
      <c r="C110" s="312" t="str">
        <f>'HỢP ĐỒNG'!C118</f>
        <v>Máy cưa bê tông đĩa tròn cầm tay không chổi than model K6006, hoạt động bằng điện, đ/a: 220V, cs: 55W, tốc độ: 2700 vòng/p, không hiệu,NSX: Ningbo zhihao machinery. Mới 100%</v>
      </c>
      <c r="D110" s="309" t="str">
        <f>'HỢP ĐỒNG'!D118</f>
        <v>PCE</v>
      </c>
      <c r="E110" s="313">
        <f>'HỢP ĐỒNG'!E118</f>
        <v>16</v>
      </c>
      <c r="F110" s="314">
        <f>'HỢP ĐỒNG'!F118</f>
        <v>30.16</v>
      </c>
      <c r="G110" s="313">
        <f>'HỢP ĐỒNG'!G118</f>
        <v>482.56</v>
      </c>
      <c r="H110" s="315">
        <f>'HỢP ĐỒNG'!I118</f>
        <v>84672900</v>
      </c>
      <c r="I110" s="316">
        <f>'HỢP ĐỒNG'!I118</f>
        <v>84672900</v>
      </c>
      <c r="J110" s="342"/>
      <c r="K110" s="343"/>
    </row>
    <row r="111" spans="1:11" ht="104.25" customHeight="1" thickBot="1">
      <c r="A111" s="310">
        <f>'HỢP ĐỒNG'!A119</f>
        <v>101</v>
      </c>
      <c r="B111" s="311" t="str">
        <f>'INVOICE lam CO'!B115</f>
        <v>Aquarium lighting lamp</v>
      </c>
      <c r="C111" s="312" t="str">
        <f>'HỢP ĐỒNG'!C119</f>
        <v>Đèn chiếu sáng trang trí bể cá cảnh, Model:DY-A200, sử dụng nguồn sáng đi ốt phát quang (LED) không phải loại quang điện. KT: 20*15*8cm. CS: 18W/220V. Hiệu:DEYAO. Mới 100%</v>
      </c>
      <c r="D111" s="309" t="str">
        <f>'HỢP ĐỒNG'!D119</f>
        <v>PCE</v>
      </c>
      <c r="E111" s="313">
        <f>'HỢP ĐỒNG'!E119</f>
        <v>120</v>
      </c>
      <c r="F111" s="314">
        <f>'HỢP ĐỒNG'!F119</f>
        <v>2.0699999999999998</v>
      </c>
      <c r="G111" s="313">
        <f>'HỢP ĐỒNG'!G119</f>
        <v>248.39999999999998</v>
      </c>
      <c r="H111" s="315">
        <f>'HỢP ĐỒNG'!I119</f>
        <v>94054290</v>
      </c>
      <c r="I111" s="316">
        <f>'HỢP ĐỒNG'!I119</f>
        <v>94054290</v>
      </c>
      <c r="J111" s="342"/>
      <c r="K111" s="343"/>
    </row>
    <row r="112" spans="1:11" ht="104.25" customHeight="1" thickBot="1">
      <c r="A112" s="310">
        <f>'HỢP ĐỒNG'!A120</f>
        <v>102</v>
      </c>
      <c r="B112" s="311" t="str">
        <f>'INVOICE lam CO'!B116</f>
        <v>Aquarium lighting lamp</v>
      </c>
      <c r="C112" s="312" t="str">
        <f>'HỢP ĐỒNG'!C120</f>
        <v>Đèn chiếu sáng trang trí bể cá cảnh, Model:DY-A300, sử dụng nguồn sáng đi ốt phát quang (LED) không phải loại quang điện. KT: 30*15*8cm. CS: 22W/220V. Hiệu:DEYAO. Mới 100%</v>
      </c>
      <c r="D112" s="309" t="str">
        <f>'HỢP ĐỒNG'!D120</f>
        <v>PCE</v>
      </c>
      <c r="E112" s="313">
        <f>'HỢP ĐỒNG'!E120</f>
        <v>160</v>
      </c>
      <c r="F112" s="314">
        <f>'HỢP ĐỒNG'!F120</f>
        <v>2.2599999999999998</v>
      </c>
      <c r="G112" s="313">
        <f>'HỢP ĐỒNG'!G120</f>
        <v>361.59999999999997</v>
      </c>
      <c r="H112" s="315">
        <f>'HỢP ĐỒNG'!I120</f>
        <v>94054290</v>
      </c>
      <c r="I112" s="316">
        <f>'HỢP ĐỒNG'!I120</f>
        <v>94054290</v>
      </c>
      <c r="J112" s="342"/>
      <c r="K112" s="343"/>
    </row>
    <row r="113" spans="1:11" ht="104.25" customHeight="1" thickBot="1">
      <c r="A113" s="310">
        <f>'HỢP ĐỒNG'!A121</f>
        <v>103</v>
      </c>
      <c r="B113" s="311" t="str">
        <f>'INVOICE lam CO'!B117</f>
        <v>Aquarium lighting lamp</v>
      </c>
      <c r="C113" s="312" t="str">
        <f>'HỢP ĐỒNG'!C121</f>
        <v>Đèn chiếu sáng trang trí bể cá cảnh, Model:DY-A400, sử dụng nguồn sáng đi ốt phát quang (LED) không phải loại quang điện. KT: 40*15*8cm. CS: 28W/220V. Hiệu:DEYAO. Mới 100%</v>
      </c>
      <c r="D113" s="309" t="str">
        <f>'HỢP ĐỒNG'!D121</f>
        <v>PCE</v>
      </c>
      <c r="E113" s="313">
        <f>'HỢP ĐỒNG'!E121</f>
        <v>200</v>
      </c>
      <c r="F113" s="314">
        <f>'HỢP ĐỒNG'!F121</f>
        <v>2.4500000000000002</v>
      </c>
      <c r="G113" s="313">
        <f>'HỢP ĐỒNG'!G121</f>
        <v>490.00000000000006</v>
      </c>
      <c r="H113" s="315">
        <f>'HỢP ĐỒNG'!I121</f>
        <v>94054290</v>
      </c>
      <c r="I113" s="316">
        <f>'HỢP ĐỒNG'!I121</f>
        <v>94054290</v>
      </c>
      <c r="J113" s="342"/>
      <c r="K113" s="343"/>
    </row>
    <row r="114" spans="1:11" ht="104.25" customHeight="1" thickBot="1">
      <c r="A114" s="310">
        <f>'HỢP ĐỒNG'!A122</f>
        <v>104</v>
      </c>
      <c r="B114" s="311" t="str">
        <f>'INVOICE lam CO'!B118</f>
        <v>Aquarium lighting lamp</v>
      </c>
      <c r="C114" s="312" t="str">
        <f>'HỢP ĐỒNG'!C122</f>
        <v>Đèn chiếu sáng trang trí bể cá cảnh, Model:DY-A500, sử dụng nguồn sáng đi ốt phát quang (LED) không phải loại quang điện. KT: 50*15*8cm. CS: 34W/220V. Hiệu:DEYAO. Mới 100%</v>
      </c>
      <c r="D114" s="309" t="str">
        <f>'HỢP ĐỒNG'!D122</f>
        <v>PCE</v>
      </c>
      <c r="E114" s="313">
        <f>'HỢP ĐỒNG'!E122</f>
        <v>600</v>
      </c>
      <c r="F114" s="314">
        <f>'HỢP ĐỒNG'!F122</f>
        <v>2.64</v>
      </c>
      <c r="G114" s="313">
        <f>'HỢP ĐỒNG'!G122</f>
        <v>1584</v>
      </c>
      <c r="H114" s="315">
        <f>'HỢP ĐỒNG'!I122</f>
        <v>94054290</v>
      </c>
      <c r="I114" s="316">
        <f>'HỢP ĐỒNG'!I122</f>
        <v>94054290</v>
      </c>
      <c r="J114" s="342"/>
      <c r="K114" s="343"/>
    </row>
    <row r="115" spans="1:11" ht="104.25" customHeight="1" thickBot="1">
      <c r="A115" s="310">
        <f>'HỢP ĐỒNG'!A123</f>
        <v>105</v>
      </c>
      <c r="B115" s="311" t="str">
        <f>'INVOICE lam CO'!B119</f>
        <v>Aquarium lighting lamp</v>
      </c>
      <c r="C115" s="312" t="str">
        <f>'HỢP ĐỒNG'!C123</f>
        <v>Đèn chiếu sáng trang trí bể cá cảnh, Model:DY-A600, sử dụng nguồn sáng đi ốt phát quang (LED) không phải loại quang điện. KT: 60*15*8cm. CS: 38W/220V. Hiệu:DEYAO. Mới 100%</v>
      </c>
      <c r="D115" s="309" t="str">
        <f>'HỢP ĐỒNG'!D123</f>
        <v>PCE</v>
      </c>
      <c r="E115" s="313">
        <f>'HỢP ĐỒNG'!E123</f>
        <v>800</v>
      </c>
      <c r="F115" s="314">
        <f>'HỢP ĐỒNG'!F123</f>
        <v>2.83</v>
      </c>
      <c r="G115" s="313">
        <f>'HỢP ĐỒNG'!G123</f>
        <v>2264</v>
      </c>
      <c r="H115" s="315">
        <f>'HỢP ĐỒNG'!I123</f>
        <v>94054290</v>
      </c>
      <c r="I115" s="316">
        <f>'HỢP ĐỒNG'!I123</f>
        <v>94054290</v>
      </c>
      <c r="J115" s="342"/>
      <c r="K115" s="343"/>
    </row>
    <row r="116" spans="1:11" ht="104.25" customHeight="1" thickBot="1">
      <c r="A116" s="310">
        <f>'HỢP ĐỒNG'!A124</f>
        <v>106</v>
      </c>
      <c r="B116" s="311" t="str">
        <f>'INVOICE lam CO'!B120</f>
        <v>Aquarium lighting lamp</v>
      </c>
      <c r="C116" s="312" t="str">
        <f>'HỢP ĐỒNG'!C124</f>
        <v>Đèn chiếu sáng trang trí bể cá cảnh, Model:DY-A800, sử dụng nguồn sáng đi ốt phát quang (LED) không phải loại quang điện. KT: 80*15*8cm. CS: 46W/220V. Hiệu:DEYAO. Mới 100%</v>
      </c>
      <c r="D116" s="309" t="str">
        <f>'HỢP ĐỒNG'!D124</f>
        <v>PCE</v>
      </c>
      <c r="E116" s="313">
        <f>'HỢP ĐỒNG'!E124</f>
        <v>600</v>
      </c>
      <c r="F116" s="314">
        <f>'HỢP ĐỒNG'!F124</f>
        <v>3.02</v>
      </c>
      <c r="G116" s="313">
        <f>'HỢP ĐỒNG'!G124</f>
        <v>1812</v>
      </c>
      <c r="H116" s="315">
        <f>'HỢP ĐỒNG'!I124</f>
        <v>94054290</v>
      </c>
      <c r="I116" s="316">
        <f>'HỢP ĐỒNG'!I124</f>
        <v>94054290</v>
      </c>
      <c r="J116" s="342"/>
      <c r="K116" s="343"/>
    </row>
    <row r="117" spans="1:11" ht="104.25" customHeight="1" thickBot="1">
      <c r="A117" s="310">
        <f>'HỢP ĐỒNG'!A125</f>
        <v>107</v>
      </c>
      <c r="B117" s="311" t="str">
        <f>'INVOICE lam CO'!B121</f>
        <v>Aquarium lighting lamp</v>
      </c>
      <c r="C117" s="312" t="str">
        <f>'HỢP ĐỒNG'!C125</f>
        <v>Đèn chiếu sáng trang trí bể cá cảnh, Model:DY-A1000, sử dụng nguồn sáng đi ốt phát quang (LED) không phải loại quang điện. KT: 100*15*8cm. CS: 55W/220V. Hiệu:DEYAO. Mới 100%</v>
      </c>
      <c r="D117" s="309" t="str">
        <f>'HỢP ĐỒNG'!D125</f>
        <v>PCE</v>
      </c>
      <c r="E117" s="313">
        <f>'HỢP ĐỒNG'!E125</f>
        <v>400</v>
      </c>
      <c r="F117" s="314">
        <f>'HỢP ĐỒNG'!F125</f>
        <v>3.2</v>
      </c>
      <c r="G117" s="313">
        <f>'HỢP ĐỒNG'!G125</f>
        <v>1280</v>
      </c>
      <c r="H117" s="315">
        <f>'HỢP ĐỒNG'!I125</f>
        <v>94054290</v>
      </c>
      <c r="I117" s="316">
        <f>'HỢP ĐỒNG'!I125</f>
        <v>94054290</v>
      </c>
      <c r="J117" s="342"/>
      <c r="K117" s="343"/>
    </row>
    <row r="118" spans="1:11" ht="104.25" customHeight="1" thickBot="1">
      <c r="A118" s="310">
        <f>'HỢP ĐỒNG'!A126</f>
        <v>108</v>
      </c>
      <c r="B118" s="311" t="str">
        <f>'INVOICE lam CO'!B122</f>
        <v>Aquarium lighting lamp</v>
      </c>
      <c r="C118" s="312" t="str">
        <f>'HỢP ĐỒNG'!C126</f>
        <v>Đèn chiếu sáng trang trí bể cá cảnh, Model: E23, sử dụng nguồn sáng đi ốt phát quang (LED) không phải loại quang điện. KT: 30*10*8cm. Công suất:12w/220V. Hiệu:DEYAO. Mới 100%</v>
      </c>
      <c r="D118" s="309" t="str">
        <f>'HỢP ĐỒNG'!D126</f>
        <v>PCE</v>
      </c>
      <c r="E118" s="313">
        <f>'HỢP ĐỒNG'!E126</f>
        <v>250</v>
      </c>
      <c r="F118" s="314">
        <f>'HỢP ĐỒNG'!F126</f>
        <v>2.2599999999999998</v>
      </c>
      <c r="G118" s="313">
        <f>'HỢP ĐỒNG'!G126</f>
        <v>565</v>
      </c>
      <c r="H118" s="315">
        <f>'HỢP ĐỒNG'!I126</f>
        <v>94054290</v>
      </c>
      <c r="I118" s="316">
        <f>'HỢP ĐỒNG'!I126</f>
        <v>94054290</v>
      </c>
      <c r="J118" s="342"/>
      <c r="K118" s="343"/>
    </row>
    <row r="119" spans="1:11" ht="104.25" customHeight="1" thickBot="1">
      <c r="A119" s="310">
        <f>'HỢP ĐỒNG'!A127</f>
        <v>109</v>
      </c>
      <c r="B119" s="311" t="str">
        <f>'INVOICE lam CO'!B123</f>
        <v>Aquarium lighting lamp</v>
      </c>
      <c r="C119" s="312" t="str">
        <f>'HỢP ĐỒNG'!C127</f>
        <v>Đèn chiếu sáng trang trí bể cá cảnh, Model:E29 , sử dụng nguồn sáng đi ốt phát quang (LED) không phải loại quang điện. KT: 40*10*8cm. Công suất:16w/220V. Hiệu:DEYAO. Mới 100%</v>
      </c>
      <c r="D119" s="309" t="str">
        <f>'HỢP ĐỒNG'!D127</f>
        <v>PCE</v>
      </c>
      <c r="E119" s="313">
        <f>'HỢP ĐỒNG'!E127</f>
        <v>250</v>
      </c>
      <c r="F119" s="314">
        <f>'HỢP ĐỒNG'!F127</f>
        <v>2.64</v>
      </c>
      <c r="G119" s="313">
        <f>'HỢP ĐỒNG'!G127</f>
        <v>660</v>
      </c>
      <c r="H119" s="315">
        <f>'HỢP ĐỒNG'!I127</f>
        <v>94054290</v>
      </c>
      <c r="I119" s="316">
        <f>'HỢP ĐỒNG'!I127</f>
        <v>94054290</v>
      </c>
      <c r="J119" s="342"/>
      <c r="K119" s="343"/>
    </row>
    <row r="120" spans="1:11" ht="104.25" customHeight="1" thickBot="1">
      <c r="A120" s="310">
        <f>'HỢP ĐỒNG'!A128</f>
        <v>110</v>
      </c>
      <c r="B120" s="311" t="str">
        <f>'INVOICE lam CO'!B124</f>
        <v>Aquarium lighting lamp</v>
      </c>
      <c r="C120" s="312" t="str">
        <f>'HỢP ĐỒNG'!C128</f>
        <v>Đèn chiếu sáng trang trí bể cá cảnh, Model: E39, sử dụng nguồn sáng đi ốt phát quang (LED) không phải loại quang điện. KT: 40*10*8cm. Công suất:20w/220V. Hiệu:DEYAO. Mới 100%</v>
      </c>
      <c r="D120" s="309" t="str">
        <f>'HỢP ĐỒNG'!D128</f>
        <v>PCE</v>
      </c>
      <c r="E120" s="313">
        <f>'HỢP ĐỒNG'!E128</f>
        <v>250</v>
      </c>
      <c r="F120" s="314">
        <f>'HỢP ĐỒNG'!F128</f>
        <v>3.02</v>
      </c>
      <c r="G120" s="313">
        <f>'HỢP ĐỒNG'!G128</f>
        <v>755</v>
      </c>
      <c r="H120" s="315">
        <f>'HỢP ĐỒNG'!I128</f>
        <v>94054290</v>
      </c>
      <c r="I120" s="316">
        <f>'HỢP ĐỒNG'!I128</f>
        <v>94054290</v>
      </c>
      <c r="J120" s="342"/>
      <c r="K120" s="343"/>
    </row>
    <row r="121" spans="1:11" ht="104.25" customHeight="1" thickBot="1">
      <c r="A121" s="310">
        <f>'HỢP ĐỒNG'!A129</f>
        <v>111</v>
      </c>
      <c r="B121" s="311" t="str">
        <f>'INVOICE lam CO'!B125</f>
        <v>Aquarium lighting lamp</v>
      </c>
      <c r="C121" s="312" t="str">
        <f>'HỢP ĐỒNG'!C129</f>
        <v>Đèn chiếu sáng trang trí bể cá cảnh, Model: E49 , sử dụng nguồn sáng đi ốt phát quang (LED) không phải loại quang điện. KT: 40*10*8cm. Công suất:24w/220V. Hiệu:DEYAO. Mới 100%</v>
      </c>
      <c r="D121" s="309" t="str">
        <f>'HỢP ĐỒNG'!D129</f>
        <v>PCE</v>
      </c>
      <c r="E121" s="313">
        <f>'HỢP ĐỒNG'!E129</f>
        <v>250</v>
      </c>
      <c r="F121" s="314">
        <f>'HỢP ĐỒNG'!F129</f>
        <v>3.39</v>
      </c>
      <c r="G121" s="313">
        <f>'HỢP ĐỒNG'!G129</f>
        <v>847.5</v>
      </c>
      <c r="H121" s="315">
        <f>'HỢP ĐỒNG'!I129</f>
        <v>94054290</v>
      </c>
      <c r="I121" s="316">
        <f>'HỢP ĐỒNG'!I129</f>
        <v>94054290</v>
      </c>
      <c r="J121" s="342"/>
      <c r="K121" s="343"/>
    </row>
    <row r="122" spans="1:11" ht="104.25" customHeight="1" thickBot="1">
      <c r="A122" s="310">
        <f>'HỢP ĐỒNG'!A130</f>
        <v>112</v>
      </c>
      <c r="B122" s="311" t="str">
        <f>'INVOICE lam CO'!B126</f>
        <v>Aquarium lighting lamp</v>
      </c>
      <c r="C122" s="312" t="str">
        <f>'HỢP ĐỒNG'!C130</f>
        <v>Đèn chiếu sáng trang trí bể cá cảnh, Model:CF02, sử dụng nguồn sáng đi ốt phát quang (LED), không phải loại quang điện. KT: 18*15*6cm.Công suất: 13W-220V. Hiệu:DEYAO. Mới 100%</v>
      </c>
      <c r="D122" s="309" t="str">
        <f>'HỢP ĐỒNG'!D130</f>
        <v>PCE</v>
      </c>
      <c r="E122" s="313">
        <f>'HỢP ĐỒNG'!E130</f>
        <v>2000</v>
      </c>
      <c r="F122" s="314">
        <f>'HỢP ĐỒNG'!F130</f>
        <v>2.0699999999999998</v>
      </c>
      <c r="G122" s="313">
        <f>'HỢP ĐỒNG'!G130</f>
        <v>4140</v>
      </c>
      <c r="H122" s="315">
        <f>'HỢP ĐỒNG'!I130</f>
        <v>94054290</v>
      </c>
      <c r="I122" s="316">
        <f>'HỢP ĐỒNG'!I130</f>
        <v>94054290</v>
      </c>
      <c r="J122" s="342"/>
      <c r="K122" s="343"/>
    </row>
    <row r="123" spans="1:11" ht="104.25" customHeight="1" thickBot="1">
      <c r="A123" s="310">
        <f>'HỢP ĐỒNG'!A131</f>
        <v>113</v>
      </c>
      <c r="B123" s="311" t="str">
        <f>'INVOICE lam CO'!B127</f>
        <v>Aquarium lighting lamp</v>
      </c>
      <c r="C123" s="312" t="str">
        <f>'HỢP ĐỒNG'!C131</f>
        <v>Đèn chiếu sáng trang trí bể cá cảnh, Model:F-01, sử dụng nguồn sáng đi ốt phát quang (LED), không phải loại quang điện KT: 35*15*10cm.Công suất: 12W-220V. Hiệu:DEYAO. Mới 100%</v>
      </c>
      <c r="D123" s="309" t="str">
        <f>'HỢP ĐỒNG'!D131</f>
        <v>PCE</v>
      </c>
      <c r="E123" s="313">
        <f>'HỢP ĐỒNG'!E131</f>
        <v>300</v>
      </c>
      <c r="F123" s="314">
        <f>'HỢP ĐỒNG'!F131</f>
        <v>2.64</v>
      </c>
      <c r="G123" s="313">
        <f>'HỢP ĐỒNG'!G131</f>
        <v>792</v>
      </c>
      <c r="H123" s="315">
        <f>'HỢP ĐỒNG'!I131</f>
        <v>94054290</v>
      </c>
      <c r="I123" s="316">
        <f>'HỢP ĐỒNG'!I131</f>
        <v>94054290</v>
      </c>
      <c r="J123" s="342"/>
      <c r="K123" s="343"/>
    </row>
    <row r="124" spans="1:11" ht="104.25" customHeight="1" thickBot="1">
      <c r="A124" s="310">
        <f>'HỢP ĐỒNG'!A132</f>
        <v>114</v>
      </c>
      <c r="B124" s="311" t="str">
        <f>'INVOICE lam CO'!B128</f>
        <v>Aquarium lighting lamp</v>
      </c>
      <c r="C124" s="312" t="str">
        <f>'HỢP ĐỒNG'!C132</f>
        <v>Đèn chiếu sáng trang trí bể cá cảnh, Model:F-07, sử dụng nguồn sáng đi ốt phát quang (LED), không phải loại quang điện. KT: 35*15*10cm.Công suất: 20W-220V. Hiệu:DEYAO. Mới 100%</v>
      </c>
      <c r="D124" s="309" t="str">
        <f>'HỢP ĐỒNG'!D132</f>
        <v>PCE</v>
      </c>
      <c r="E124" s="313">
        <f>'HỢP ĐỒNG'!E132</f>
        <v>250</v>
      </c>
      <c r="F124" s="314">
        <f>'HỢP ĐỒNG'!F132</f>
        <v>3.39</v>
      </c>
      <c r="G124" s="313">
        <f>'HỢP ĐỒNG'!G132</f>
        <v>847.5</v>
      </c>
      <c r="H124" s="315">
        <f>'HỢP ĐỒNG'!I132</f>
        <v>94054290</v>
      </c>
      <c r="I124" s="316">
        <f>'HỢP ĐỒNG'!I132</f>
        <v>94054290</v>
      </c>
      <c r="J124" s="342"/>
      <c r="K124" s="343"/>
    </row>
    <row r="125" spans="1:11" ht="104.25" customHeight="1" thickBot="1">
      <c r="A125" s="310">
        <f>'HỢP ĐỒNG'!A133</f>
        <v>115</v>
      </c>
      <c r="B125" s="311" t="str">
        <f>'INVOICE lam CO'!B129</f>
        <v>Aquarium lighting lamp</v>
      </c>
      <c r="C125" s="312" t="str">
        <f>'HỢP ĐỒNG'!C133</f>
        <v>Đèn chiếu sáng trang trí bể cá cảnh, Model:F-09, sử dụng nguồn sáng đi ốt phát quang (LED, không phải loại quang điện. KT: 35*15*10cm.Công suất: 15W-220V. Hiệu:DEYAO. Mới 100%</v>
      </c>
      <c r="D125" s="309" t="str">
        <f>'HỢP ĐỒNG'!D133</f>
        <v>PCE</v>
      </c>
      <c r="E125" s="313">
        <f>'HỢP ĐỒNG'!E133</f>
        <v>400</v>
      </c>
      <c r="F125" s="314">
        <f>'HỢP ĐỒNG'!F133</f>
        <v>4.9000000000000004</v>
      </c>
      <c r="G125" s="313">
        <f>'HỢP ĐỒNG'!G133</f>
        <v>1960.0000000000002</v>
      </c>
      <c r="H125" s="315">
        <f>'HỢP ĐỒNG'!I133</f>
        <v>94054290</v>
      </c>
      <c r="I125" s="316">
        <f>'HỢP ĐỒNG'!I133</f>
        <v>94054290</v>
      </c>
      <c r="J125" s="342"/>
      <c r="K125" s="343"/>
    </row>
    <row r="126" spans="1:11" ht="104.25" customHeight="1" thickBot="1">
      <c r="A126" s="310">
        <f>'HỢP ĐỒNG'!A134</f>
        <v>116</v>
      </c>
      <c r="B126" s="311" t="str">
        <f>'INVOICE lam CO'!B130</f>
        <v>Folding paper box</v>
      </c>
      <c r="C126" s="312" t="str">
        <f>'HỢP ĐỒNG'!C134</f>
        <v>Hộp giấy bìa không sóng có thể gấp lại dùng để đóng gói, vận chuyển hoa sáp, KT: 46*24*8cm+-10%, không hiệu. Nsx: Guangdong Daming Decoration Co., Ltd, Mới 100%</v>
      </c>
      <c r="D126" s="309" t="str">
        <f>'HỢP ĐỒNG'!D134</f>
        <v>KGM</v>
      </c>
      <c r="E126" s="313">
        <f>'HỢP ĐỒNG'!E134</f>
        <v>400</v>
      </c>
      <c r="F126" s="314">
        <f>'HỢP ĐỒNG'!F134</f>
        <v>0.8</v>
      </c>
      <c r="G126" s="313">
        <f>'HỢP ĐỒNG'!G134</f>
        <v>320</v>
      </c>
      <c r="H126" s="315">
        <f>'HỢP ĐỒNG'!I134</f>
        <v>48192000</v>
      </c>
      <c r="I126" s="316">
        <f>'HỢP ĐỒNG'!I134</f>
        <v>48192000</v>
      </c>
      <c r="J126" s="342"/>
      <c r="K126" s="343"/>
    </row>
    <row r="127" spans="1:11" ht="104.25" customHeight="1" thickBot="1">
      <c r="A127" s="310">
        <f>'HỢP ĐỒNG'!A135</f>
        <v>117</v>
      </c>
      <c r="B127" s="311" t="str">
        <f>'INVOICE lam CO'!B131</f>
        <v>Plastic tray</v>
      </c>
      <c r="C127" s="312" t="str">
        <f>'HỢP ĐỒNG'!C135</f>
        <v>Khay nhựa PVC định hình bóng khí, dùng lót đáy hộp quà tặng khi đóng gói vận chuyển, chất liệu nhựa PVC, KT: 44*22*3.1cm+-10%, không hiệu. Nsx: Guangdong Daming Decoration Co., Ltd, Mới 100%</v>
      </c>
      <c r="D127" s="309" t="str">
        <f>'HỢP ĐỒNG'!D135</f>
        <v>KGM</v>
      </c>
      <c r="E127" s="313">
        <f>'HỢP ĐỒNG'!E135</f>
        <v>100</v>
      </c>
      <c r="F127" s="314">
        <f>'HỢP ĐỒNG'!F135</f>
        <v>1.3</v>
      </c>
      <c r="G127" s="313">
        <f>'HỢP ĐỒNG'!G135</f>
        <v>130</v>
      </c>
      <c r="H127" s="315">
        <f>'HỢP ĐỒNG'!I135</f>
        <v>39239090</v>
      </c>
      <c r="I127" s="316">
        <f>'HỢP ĐỒNG'!I135</f>
        <v>39239090</v>
      </c>
      <c r="J127" s="342"/>
      <c r="K127" s="343"/>
    </row>
    <row r="128" spans="1:11" ht="104.25" customHeight="1" thickBot="1">
      <c r="A128" s="310">
        <f>'HỢP ĐỒNG'!A136</f>
        <v>118</v>
      </c>
      <c r="B128" s="311" t="str">
        <f>'INVOICE lam CO'!B132</f>
        <v>Boots</v>
      </c>
      <c r="C128" s="312" t="str">
        <f>'HỢP ĐỒNG'!C136</f>
        <v>Giày bốt trẻ em cổ cao quá mắt cá chân, không đúc, đế bằng cao su mềm, mũ giày bằng nhựa giả da, mũi không gắn bảo vệ, size 22-31. KH:D509, không hiệu. NSX:Jinjiang Anao Footwear Co.,Ltd. mới 100%</v>
      </c>
      <c r="D128" s="309" t="str">
        <f>'HỢP ĐỒNG'!D136</f>
        <v>PR</v>
      </c>
      <c r="E128" s="313">
        <f>'HỢP ĐỒNG'!E136</f>
        <v>200</v>
      </c>
      <c r="F128" s="314">
        <f>'HỢP ĐỒNG'!F136</f>
        <v>1.1299999999999999</v>
      </c>
      <c r="G128" s="313">
        <f>'HỢP ĐỒNG'!G136</f>
        <v>225.99999999999997</v>
      </c>
      <c r="H128" s="315">
        <f>'HỢP ĐỒNG'!I136</f>
        <v>64029199</v>
      </c>
      <c r="I128" s="316">
        <f>'HỢP ĐỒNG'!I136</f>
        <v>64029199</v>
      </c>
      <c r="J128" s="342"/>
      <c r="K128" s="343"/>
    </row>
    <row r="129" spans="1:11" ht="104.25" customHeight="1" thickBot="1">
      <c r="A129" s="310">
        <f>'HỢP ĐỒNG'!A137</f>
        <v>119</v>
      </c>
      <c r="B129" s="311" t="str">
        <f>'INVOICE lam CO'!B133</f>
        <v>Termite bait station</v>
      </c>
      <c r="C129" s="312" t="str">
        <f>'HỢP ĐỒNG'!C137</f>
        <v>Trạm mồi chống mối nổi kèm phụ kiện lắp đặt, không thấm tẩm hóa chất, chất liệu bằng nhựa tổng hợp, KT: 16.5*8.5*6.5cm+-10%, không hiệu. NSX: Shenzhen iPest Technology Co., Ltd. mới 100%</v>
      </c>
      <c r="D129" s="309" t="str">
        <f>'HỢP ĐỒNG'!D137</f>
        <v>SET</v>
      </c>
      <c r="E129" s="313">
        <f>'HỢP ĐỒNG'!E137</f>
        <v>500</v>
      </c>
      <c r="F129" s="314">
        <f>'HỢP ĐỒNG'!F137</f>
        <v>0.89</v>
      </c>
      <c r="G129" s="313">
        <f>'HỢP ĐỒNG'!G137</f>
        <v>445</v>
      </c>
      <c r="H129" s="315">
        <f>'HỢP ĐỒNG'!I137</f>
        <v>39269099</v>
      </c>
      <c r="I129" s="316">
        <f>'HỢP ĐỒNG'!I137</f>
        <v>39269099</v>
      </c>
      <c r="J129" s="342"/>
      <c r="K129" s="343"/>
    </row>
    <row r="130" spans="1:11" ht="104.25" customHeight="1" thickBot="1">
      <c r="A130" s="310">
        <f>'HỢP ĐỒNG'!A138</f>
        <v>120</v>
      </c>
      <c r="B130" s="311" t="str">
        <f>'INVOICE lam CO'!B134</f>
        <v>Hanger roller</v>
      </c>
      <c r="C130" s="312" t="str">
        <f>'HỢP ĐỒNG'!C138</f>
        <v>Bánh xe treo cửa thang máy, chất liệu bằng thép không gỉ. KT: (56*14)mm, model: 6201RS, không hiệu. NSX: Tiyou Elevator Parts. Mới 100%</v>
      </c>
      <c r="D130" s="309" t="str">
        <f>'HỢP ĐỒNG'!D138</f>
        <v>PCE</v>
      </c>
      <c r="E130" s="313">
        <f>'HỢP ĐỒNG'!E138</f>
        <v>200</v>
      </c>
      <c r="F130" s="314">
        <f>'HỢP ĐỒNG'!F138</f>
        <v>1.39</v>
      </c>
      <c r="G130" s="313">
        <f>'HỢP ĐỒNG'!G138</f>
        <v>278</v>
      </c>
      <c r="H130" s="315">
        <f>'HỢP ĐỒNG'!I138</f>
        <v>84313120</v>
      </c>
      <c r="I130" s="316">
        <f>'HỢP ĐỒNG'!I138</f>
        <v>84313120</v>
      </c>
      <c r="J130" s="342"/>
      <c r="K130" s="343"/>
    </row>
    <row r="131" spans="1:11" ht="104.25" customHeight="1" thickBot="1">
      <c r="A131" s="310">
        <f>'HỢP ĐỒNG'!A139</f>
        <v>121</v>
      </c>
      <c r="B131" s="311" t="str">
        <f>'INVOICE lam CO'!B135</f>
        <v>Hanger roller</v>
      </c>
      <c r="C131" s="312" t="str">
        <f>'HỢP ĐỒNG'!C139</f>
        <v>Bánh xe treo cửa thang máy, rãnh phẳng, chất liệu bằng thép không gỉ. KT: (62*16)mm, model: 6203, không hiệu. NSX: Tiyou Elevator Parts. Mới 100%</v>
      </c>
      <c r="D131" s="309" t="str">
        <f>'HỢP ĐỒNG'!D139</f>
        <v>PCE</v>
      </c>
      <c r="E131" s="313">
        <f>'HỢP ĐỒNG'!E139</f>
        <v>150</v>
      </c>
      <c r="F131" s="314">
        <f>'HỢP ĐỒNG'!F139</f>
        <v>2.0699999999999998</v>
      </c>
      <c r="G131" s="313">
        <f>'HỢP ĐỒNG'!G139</f>
        <v>310.5</v>
      </c>
      <c r="H131" s="315">
        <f>'HỢP ĐỒNG'!I139</f>
        <v>84313120</v>
      </c>
      <c r="I131" s="316">
        <f>'HỢP ĐỒNG'!I139</f>
        <v>84313120</v>
      </c>
      <c r="J131" s="341"/>
      <c r="K131" s="343"/>
    </row>
    <row r="132" spans="1:11" ht="104.25" customHeight="1" thickBot="1">
      <c r="A132" s="310">
        <f>'HỢP ĐỒNG'!A140</f>
        <v>122</v>
      </c>
      <c r="B132" s="311" t="str">
        <f>'INVOICE lam CO'!B136</f>
        <v>Artificial tulip</v>
      </c>
      <c r="C132" s="312" t="str">
        <f>'HỢP ĐỒNG'!C140</f>
        <v>Bông hoa tuylip nhân tạo, chất liệu nhựa PVC, lõi bằng thép, đã định hình hoàn chỉnh, dùng để trang trí. KT: (35*4)cm+/-10%, không hiệu. NSX: Yuchen Artificial Flower Strength Supplier, mới 100%</v>
      </c>
      <c r="D132" s="309" t="str">
        <f>'HỢP ĐỒNG'!D140</f>
        <v>PCE</v>
      </c>
      <c r="E132" s="313">
        <f>'HỢP ĐỒNG'!E140</f>
        <v>10000</v>
      </c>
      <c r="F132" s="314">
        <f>'HỢP ĐỒNG'!F140</f>
        <v>7.4999999999999997E-2</v>
      </c>
      <c r="G132" s="313">
        <f>'HỢP ĐỒNG'!G140</f>
        <v>750</v>
      </c>
      <c r="H132" s="315">
        <f>'HỢP ĐỒNG'!I140</f>
        <v>67029090</v>
      </c>
      <c r="I132" s="316">
        <f>'HỢP ĐỒNG'!I140</f>
        <v>67029090</v>
      </c>
      <c r="J132" s="341"/>
      <c r="K132" s="343"/>
    </row>
    <row r="133" spans="1:11" ht="104.25" customHeight="1">
      <c r="A133" s="310"/>
      <c r="B133" s="311" t="str">
        <f>'INVOICE lam CO'!B137</f>
        <v>Flower wrapping paper</v>
      </c>
      <c r="C133" s="312" t="str">
        <f>'HỢP ĐỒNG'!C141</f>
        <v>Giấy gói hoa dạng giấy nhún, được làm từ bột gỗ xenlulo, đã nhuộm màu bề mặt, dạng tấm, KT: (50*230)cm+/-10%, không hiệu. Nsx: Jiangxi Yuanna Packaging Material Co., Ltd. Mới 100%</v>
      </c>
      <c r="D133" s="309" t="str">
        <f>'HỢP ĐỒNG'!D141</f>
        <v>KGM</v>
      </c>
      <c r="E133" s="313">
        <f>'HỢP ĐỒNG'!E141</f>
        <v>398</v>
      </c>
      <c r="F133" s="314">
        <f>'HỢP ĐỒNG'!F141</f>
        <v>0.8</v>
      </c>
      <c r="G133" s="313">
        <f>'HỢP ĐỒNG'!G141</f>
        <v>318.40000000000003</v>
      </c>
      <c r="H133" s="316"/>
      <c r="I133" s="316">
        <f>'HỢP ĐỒNG'!I141</f>
        <v>48119093</v>
      </c>
      <c r="J133" s="362"/>
      <c r="K133" s="343"/>
    </row>
    <row r="134" spans="1:11" ht="104.25" customHeight="1">
      <c r="A134" s="310"/>
      <c r="B134" s="311" t="str">
        <f>'INVOICE lam CO'!B138</f>
        <v>Paint spraying machine</v>
      </c>
      <c r="C134" s="312" t="str">
        <f>'HỢP ĐỒNG'!C142</f>
        <v>Máy phun sơn tĩnh điện dùng để phun sơn hoàn thiện bề mặt các sản phẩm bằng kim loại,kèm khung đỡ có bánh xe.Model:FlexiSpray F1,điện áp:AC100-240,CS: 50W. NSX: Foshan Debelle Technology,mới 100%</v>
      </c>
      <c r="D134" s="309" t="str">
        <f>'HỢP ĐỒNG'!D142</f>
        <v>PCE</v>
      </c>
      <c r="E134" s="313">
        <f>'HỢP ĐỒNG'!E142</f>
        <v>2</v>
      </c>
      <c r="F134" s="314">
        <f>'HỢP ĐỒNG'!F142</f>
        <v>1884.87</v>
      </c>
      <c r="G134" s="313">
        <f>'HỢP ĐỒNG'!G142</f>
        <v>3769.74</v>
      </c>
      <c r="H134" s="316"/>
      <c r="I134" s="316">
        <f>'HỢP ĐỒNG'!I142</f>
        <v>84242029</v>
      </c>
      <c r="J134" s="362"/>
      <c r="K134" s="343"/>
    </row>
    <row r="135" spans="1:11" s="68" customFormat="1" ht="58.5" customHeight="1">
      <c r="A135" s="176"/>
      <c r="B135" s="197"/>
      <c r="C135" s="197" t="s">
        <v>2</v>
      </c>
      <c r="D135" s="176"/>
      <c r="E135" s="177"/>
      <c r="F135" s="335"/>
      <c r="G135" s="344">
        <f>SUM(G11:G134)</f>
        <v>193171.09</v>
      </c>
    </row>
    <row r="136" spans="1:11" s="68" customFormat="1" ht="18" customHeight="1">
      <c r="B136" s="289"/>
      <c r="C136" s="411"/>
      <c r="D136" s="411"/>
      <c r="E136" s="411"/>
      <c r="F136" s="411"/>
      <c r="G136" s="411"/>
    </row>
    <row r="137" spans="1:11" s="70" customFormat="1" ht="11.25">
      <c r="B137" s="290"/>
      <c r="C137" s="198"/>
      <c r="E137" s="71"/>
      <c r="F137" s="336"/>
    </row>
    <row r="138" spans="1:11" ht="24.75" customHeight="1">
      <c r="A138" s="65"/>
      <c r="B138" s="291"/>
      <c r="C138" s="406" t="s">
        <v>185</v>
      </c>
      <c r="D138" s="406"/>
      <c r="E138" s="406"/>
      <c r="F138" s="406"/>
    </row>
    <row r="139" spans="1:11" ht="31.5">
      <c r="C139" s="106" t="s">
        <v>76</v>
      </c>
      <c r="E139" s="64"/>
    </row>
    <row r="140" spans="1:11" s="10" customFormat="1">
      <c r="B140" s="288"/>
      <c r="C140" s="106" t="s">
        <v>75</v>
      </c>
      <c r="E140" s="64"/>
      <c r="F140" s="337"/>
    </row>
    <row r="141" spans="1:11" s="10" customFormat="1">
      <c r="B141" s="288"/>
      <c r="C141" s="106" t="s">
        <v>72</v>
      </c>
      <c r="E141" s="64"/>
      <c r="F141" s="337"/>
    </row>
  </sheetData>
  <mergeCells count="10">
    <mergeCell ref="A1:I1"/>
    <mergeCell ref="C136:G136"/>
    <mergeCell ref="F5:G5"/>
    <mergeCell ref="F4:G4"/>
    <mergeCell ref="A9:G9"/>
    <mergeCell ref="J3:L3"/>
    <mergeCell ref="C138:F138"/>
    <mergeCell ref="A8:G8"/>
    <mergeCell ref="A2:I2"/>
    <mergeCell ref="A3:I3"/>
  </mergeCells>
  <phoneticPr fontId="9" type="noConversion"/>
  <pageMargins left="0.3" right="0.25" top="0.65" bottom="0.65" header="0.15748031496063" footer="0.23622047244094499"/>
  <pageSetup paperSize="9" scale="84"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9250A-32B0-43FB-8BEF-E26E422DDA1C}">
  <sheetPr codeName="Sheet4">
    <tabColor indexed="10"/>
  </sheetPr>
  <dimension ref="A1:S145"/>
  <sheetViews>
    <sheetView view="pageBreakPreview" topLeftCell="A31" zoomScale="96" zoomScaleNormal="100" zoomScaleSheetLayoutView="96" workbookViewId="0">
      <selection activeCell="F32" sqref="F32:F34"/>
    </sheetView>
  </sheetViews>
  <sheetFormatPr defaultRowHeight="15.75"/>
  <cols>
    <col min="1" max="1" width="4.5703125" style="8" customWidth="1"/>
    <col min="2" max="2" width="48.42578125" style="12" customWidth="1"/>
    <col min="3" max="3" width="14.5703125" style="8" customWidth="1"/>
    <col min="4" max="4" width="13.28515625" style="8" customWidth="1"/>
    <col min="5" max="5" width="13.5703125" style="8" hidden="1" customWidth="1"/>
    <col min="6" max="6" width="8" style="211" customWidth="1"/>
    <col min="7" max="7" width="13.42578125" style="211" customWidth="1"/>
    <col min="8" max="8" width="12.5703125" style="115" customWidth="1"/>
    <col min="9" max="9" width="7.7109375" style="11" customWidth="1"/>
    <col min="10" max="10" width="9" style="8" customWidth="1"/>
    <col min="11" max="11" width="8.85546875" style="77" customWidth="1"/>
    <col min="12" max="12" width="9.5703125" style="199" customWidth="1"/>
    <col min="13" max="13" width="10.28515625" style="8" bestFit="1" customWidth="1"/>
    <col min="14" max="16384" width="9.140625" style="8"/>
  </cols>
  <sheetData>
    <row r="1" spans="1:12" s="225" customFormat="1" ht="20.25" customHeight="1">
      <c r="A1" s="436" t="str">
        <f>INVOICE!A1</f>
        <v>PINGXIANG GUIFENG TRADING CO.,LTD</v>
      </c>
      <c r="B1" s="436"/>
      <c r="C1" s="436"/>
      <c r="D1" s="436"/>
      <c r="E1" s="436"/>
      <c r="F1" s="436"/>
      <c r="G1" s="436"/>
      <c r="H1" s="436"/>
      <c r="K1" s="226"/>
      <c r="L1" s="227"/>
    </row>
    <row r="2" spans="1:12" s="225" customFormat="1" ht="30" customHeight="1">
      <c r="A2" s="437" t="str">
        <f>INVOICE!A2</f>
        <v>ADD: NO.6 PHASE II PAVEMENT BAIYUN FIELD TIANNAN SECONDARY PINGXIANG CITY GUANGXI CHINA</v>
      </c>
      <c r="B2" s="437"/>
      <c r="C2" s="437"/>
      <c r="D2" s="437"/>
      <c r="E2" s="437"/>
      <c r="F2" s="437"/>
      <c r="G2" s="437"/>
      <c r="H2" s="437"/>
      <c r="K2" s="226"/>
      <c r="L2" s="227"/>
    </row>
    <row r="3" spans="1:12" s="225" customFormat="1" ht="16.5" customHeight="1">
      <c r="A3" s="438"/>
      <c r="B3" s="438"/>
      <c r="C3" s="438"/>
      <c r="D3" s="438"/>
      <c r="E3" s="438"/>
      <c r="F3" s="280"/>
      <c r="G3" s="280"/>
      <c r="H3" s="346"/>
      <c r="K3" s="226"/>
      <c r="L3" s="227"/>
    </row>
    <row r="4" spans="1:12" s="225" customFormat="1" ht="27.75" customHeight="1">
      <c r="A4" s="409" t="s">
        <v>69</v>
      </c>
      <c r="B4" s="409"/>
      <c r="C4" s="409"/>
      <c r="D4" s="409"/>
      <c r="E4" s="409"/>
      <c r="F4" s="409"/>
      <c r="G4" s="409"/>
      <c r="H4" s="409"/>
      <c r="K4" s="226"/>
      <c r="L4" s="227"/>
    </row>
    <row r="5" spans="1:12" s="13" customFormat="1" ht="17.25" customHeight="1">
      <c r="A5" s="36"/>
      <c r="B5" s="281" t="s">
        <v>70</v>
      </c>
      <c r="C5" s="72" t="str">
        <f>INVOICE!F4</f>
        <v>0902
GF-TH/26</v>
      </c>
      <c r="D5" s="72"/>
      <c r="F5" s="282" t="str">
        <f>"Ngày "&amp;DAY(INVOICE!F5)&amp;"/"&amp;MONTH(INVOICE!F5)&amp;"/"&amp;YEAR(INVOICE!F5)</f>
        <v>Ngày 6/9/2026</v>
      </c>
      <c r="G5" s="347"/>
      <c r="H5" s="37"/>
      <c r="K5" s="78"/>
      <c r="L5" s="200"/>
    </row>
    <row r="6" spans="1:12" s="13" customFormat="1" ht="17.25" customHeight="1">
      <c r="A6" s="36"/>
      <c r="B6" s="209" t="s">
        <v>71</v>
      </c>
      <c r="C6" s="72" t="str">
        <f>C5</f>
        <v>0902
GF-TH/26</v>
      </c>
      <c r="D6" s="73"/>
      <c r="F6" s="282" t="str">
        <f>"Ngày "&amp;DAY('HỢP ĐỒNG'!I2)&amp;"/"&amp;MONTH('HỢP ĐỒNG'!I2)&amp;"/"&amp;YEAR('HỢP ĐỒNG'!I2)</f>
        <v>Ngày 5/9/2026</v>
      </c>
      <c r="G6" s="347"/>
      <c r="H6" s="37"/>
      <c r="I6" s="74"/>
      <c r="K6" s="78"/>
      <c r="L6" s="200"/>
    </row>
    <row r="7" spans="1:12" s="13" customFormat="1" ht="5.25" customHeight="1">
      <c r="A7" s="36"/>
      <c r="B7" s="210"/>
      <c r="C7" s="36"/>
      <c r="D7" s="37"/>
      <c r="E7" s="36"/>
      <c r="F7" s="283"/>
      <c r="G7" s="283"/>
      <c r="H7" s="37"/>
      <c r="K7" s="78"/>
      <c r="L7" s="200"/>
    </row>
    <row r="8" spans="1:12" ht="15.75" customHeight="1">
      <c r="A8" s="10" t="str">
        <f>INVOICE!A6</f>
        <v>NGƯỜI MUA: CÔNG TY TNHH THƯƠNG MẠI VÀ XUẤT NHẬP KHẨU TRƯỜNG HẢI</v>
      </c>
      <c r="G8" s="348"/>
      <c r="H8" s="349"/>
      <c r="I8" s="8"/>
    </row>
    <row r="9" spans="1:12" ht="15.75" customHeight="1">
      <c r="A9" s="435" t="str">
        <f>INVOICE!A7</f>
        <v>Địa chỉ: Số 12 Đường Phụ Số 4, Khu đô thị Phú Lộc 2, Phường Kỳ Lừa, Tỉnh Lạng Sơn, Việt Nam</v>
      </c>
      <c r="B9" s="435"/>
      <c r="C9" s="435"/>
      <c r="D9" s="435"/>
      <c r="E9" s="435"/>
      <c r="F9" s="435"/>
      <c r="G9" s="435"/>
      <c r="H9" s="435"/>
      <c r="I9" s="8"/>
    </row>
    <row r="10" spans="1:12" ht="15.75" customHeight="1">
      <c r="A10" s="435" t="str">
        <f>INVOICE!A8</f>
        <v>Tài khoản ngân hàng số: 9328666888 – Ngân hàng Thương mại Cổ phần Quân đội - CN Tây Hà Nội</v>
      </c>
      <c r="B10" s="435"/>
      <c r="C10" s="435"/>
      <c r="D10" s="435"/>
      <c r="E10" s="435"/>
      <c r="F10" s="435"/>
      <c r="G10" s="350"/>
      <c r="H10" s="351"/>
    </row>
    <row r="11" spans="1:12" s="13" customFormat="1" ht="15.75" customHeight="1">
      <c r="A11" s="114"/>
      <c r="B11" s="195"/>
      <c r="C11" s="114"/>
      <c r="D11" s="114"/>
      <c r="E11" s="114"/>
      <c r="F11" s="211"/>
      <c r="G11" s="211"/>
      <c r="H11" s="115"/>
      <c r="I11" s="14"/>
      <c r="K11" s="78"/>
      <c r="L11" s="200"/>
    </row>
    <row r="12" spans="1:12" s="13" customFormat="1" ht="28.5">
      <c r="A12" s="302" t="s">
        <v>6</v>
      </c>
      <c r="B12" s="303" t="s">
        <v>0</v>
      </c>
      <c r="C12" s="302" t="s">
        <v>1</v>
      </c>
      <c r="D12" s="303" t="s">
        <v>4</v>
      </c>
      <c r="E12" s="303" t="s">
        <v>5</v>
      </c>
      <c r="F12" s="305" t="s">
        <v>74</v>
      </c>
      <c r="G12" s="305" t="s">
        <v>60</v>
      </c>
      <c r="H12" s="306" t="s">
        <v>61</v>
      </c>
      <c r="I12" s="272"/>
      <c r="J12" s="273"/>
      <c r="K12" s="274"/>
      <c r="L12" s="275"/>
    </row>
    <row r="13" spans="1:12" s="68" customFormat="1" ht="60.75" customHeight="1">
      <c r="A13" s="173">
        <f>'HỢP ĐỒNG'!A19</f>
        <v>1</v>
      </c>
      <c r="B13" s="178" t="str">
        <f>'HỢP ĐỒNG'!C19</f>
        <v>Khăn lau bụi dùng để lau xe hơi, chất liệu vải dệt kim từ sợi polyester, KT:(30*30)cm, không hiệu, NSX: Qingdao Tao Hui Industrial. Mới 100%</v>
      </c>
      <c r="C13" s="179" t="str">
        <f>'HỢP ĐỒNG'!D19</f>
        <v>PCE</v>
      </c>
      <c r="D13" s="180">
        <f>'HỢP ĐỒNG'!E19</f>
        <v>20000</v>
      </c>
      <c r="E13" s="304" t="str">
        <f>IF(C13="Kg",IF(I13&lt;D13,I13&amp;" "&amp;C13&amp;" "&amp;"/ Kiện",I13&amp;" "&amp;C13&amp;" "&amp;"/ "&amp;F13&amp;" Kiện"),IF(AND(D13=I13),I13&amp;" "&amp;C13&amp;" "&amp;"/ "&amp;F13&amp;" Kiện",I13&amp;" "&amp;C13&amp;" "&amp;"/ Kiện"))</f>
        <v xml:space="preserve"> PCE / Kiện</v>
      </c>
      <c r="F13" s="395">
        <v>10</v>
      </c>
      <c r="G13" s="395">
        <v>280</v>
      </c>
      <c r="H13" s="364">
        <v>300</v>
      </c>
      <c r="I13" s="276"/>
      <c r="J13" s="220"/>
      <c r="K13" s="277"/>
      <c r="L13" s="278"/>
    </row>
    <row r="14" spans="1:12" s="68" customFormat="1" ht="60.75" customHeight="1">
      <c r="A14" s="173">
        <f>'HỢP ĐỒNG'!A20</f>
        <v>2</v>
      </c>
      <c r="B14" s="178" t="str">
        <f>'HỢP ĐỒNG'!C20</f>
        <v>Bộ ấm chén pha trà bằng gốm đất nung tráng men rạn Nhữ Diêu,gồm ấm trà dung tích 250ml,chén khải 190ml và chén uống trà 50ml, đóng hộp quà tặng, không hiệu. NSX: Shenzhen Tao Hui Industrial. Mới 100%</v>
      </c>
      <c r="C14" s="179" t="str">
        <f>'HỢP ĐỒNG'!D20</f>
        <v>SET</v>
      </c>
      <c r="D14" s="180">
        <f>'HỢP ĐỒNG'!E20</f>
        <v>20</v>
      </c>
      <c r="E14" s="304"/>
      <c r="F14" s="439">
        <v>1</v>
      </c>
      <c r="G14" s="439">
        <v>54</v>
      </c>
      <c r="H14" s="440">
        <v>56</v>
      </c>
      <c r="I14" s="276"/>
      <c r="J14" s="220"/>
      <c r="K14" s="277"/>
      <c r="L14" s="278"/>
    </row>
    <row r="15" spans="1:12" s="68" customFormat="1" ht="60.75" customHeight="1">
      <c r="A15" s="173">
        <f>'HỢP ĐỒNG'!A21</f>
        <v>3</v>
      </c>
      <c r="B15" s="178" t="str">
        <f>'HỢP ĐỒNG'!C21</f>
        <v>Bộ ấm chén pha trà du lịch bằng gốm đất nung tráng men trắng, dáng Tây Thi họa tiết Núi Non, gồm ấm trà dung tích 270ml, tống trà 150ml, chén trà 50ml,đóng hộp quà tặng, không hiệu, Mới 100%</v>
      </c>
      <c r="C15" s="179" t="str">
        <f>'HỢP ĐỒNG'!D21</f>
        <v>SET</v>
      </c>
      <c r="D15" s="180">
        <f>'HỢP ĐỒNG'!E21</f>
        <v>20</v>
      </c>
      <c r="E15" s="304"/>
      <c r="F15" s="439"/>
      <c r="G15" s="439"/>
      <c r="H15" s="440"/>
      <c r="I15" s="276"/>
      <c r="J15" s="220"/>
      <c r="K15" s="277"/>
      <c r="L15" s="278"/>
    </row>
    <row r="16" spans="1:12" s="68" customFormat="1" ht="60.75" customHeight="1">
      <c r="A16" s="173">
        <f>'HỢP ĐỒNG'!A22</f>
        <v>4</v>
      </c>
      <c r="B16" s="178" t="str">
        <f>'HỢP ĐỒNG'!C22</f>
        <v>Bộ ấm chén trà bằng gốm đất nung, kiểu dáng Nhật gồm 1 ấm 200ml và 4 chén 60ml kèm hộp quà tặng, không hiệu, NSX: Shenzhen Tao Hui Industrial Co., Ltd., Mới 100%</v>
      </c>
      <c r="C16" s="179" t="str">
        <f>'HỢP ĐỒNG'!D22</f>
        <v>SET</v>
      </c>
      <c r="D16" s="180">
        <f>'HỢP ĐỒNG'!E22</f>
        <v>50</v>
      </c>
      <c r="E16" s="304"/>
      <c r="F16" s="439"/>
      <c r="G16" s="439"/>
      <c r="H16" s="440"/>
      <c r="I16" s="276"/>
      <c r="J16" s="220"/>
      <c r="K16" s="277"/>
      <c r="L16" s="278"/>
    </row>
    <row r="17" spans="1:12" s="68" customFormat="1" ht="60.75" customHeight="1">
      <c r="A17" s="173">
        <f>'HỢP ĐỒNG'!A23</f>
        <v>5</v>
      </c>
      <c r="B17" s="178" t="str">
        <f>'HỢP ĐỒNG'!C23</f>
        <v>Ấm pha trà bằng gốm đất nung không tráng men (Tử Sa) dáng Hán Ngõa, màu xanh Lục Nê, dung tích 240ml, không dùng điện, không hiệu, NSX: Shenzhen Tao Hui Industrial Co., Ltd., Mới 100%</v>
      </c>
      <c r="C17" s="179" t="str">
        <f>'HỢP ĐỒNG'!D23</f>
        <v>PCE</v>
      </c>
      <c r="D17" s="180">
        <f>'HỢP ĐỒNG'!E23</f>
        <v>10</v>
      </c>
      <c r="E17" s="304"/>
      <c r="F17" s="439">
        <v>1</v>
      </c>
      <c r="G17" s="439">
        <v>47</v>
      </c>
      <c r="H17" s="440">
        <v>49</v>
      </c>
      <c r="I17" s="276"/>
      <c r="J17" s="220"/>
      <c r="K17" s="277"/>
      <c r="L17" s="278"/>
    </row>
    <row r="18" spans="1:12" s="68" customFormat="1" ht="60.75" customHeight="1">
      <c r="A18" s="173">
        <f>'HỢP ĐỒNG'!A24</f>
        <v>6</v>
      </c>
      <c r="B18" s="178" t="str">
        <f>'HỢP ĐỒNG'!C24</f>
        <v>Ấm pha trà bằng gốm đất nung không tráng men (Tử Sa) dáng Tây Thi, màu đỏ Đại Hồng Bào, dung tích 240ml, không dùng điện, không hiệu, NSX: Shenzhen Tao Hui Industrial Co., Ltd., Mới 100%</v>
      </c>
      <c r="C18" s="179" t="str">
        <f>'HỢP ĐỒNG'!D24</f>
        <v>PCE</v>
      </c>
      <c r="D18" s="180">
        <f>'HỢP ĐỒNG'!E24</f>
        <v>15</v>
      </c>
      <c r="E18" s="304"/>
      <c r="F18" s="439"/>
      <c r="G18" s="439"/>
      <c r="H18" s="440"/>
      <c r="I18" s="276"/>
      <c r="J18" s="220"/>
      <c r="K18" s="277"/>
      <c r="L18" s="278"/>
    </row>
    <row r="19" spans="1:12" s="68" customFormat="1" ht="60.75" customHeight="1">
      <c r="A19" s="173">
        <f>'HỢP ĐỒNG'!A25</f>
        <v>7</v>
      </c>
      <c r="B19" s="178" t="str">
        <f>'HỢP ĐỒNG'!C25</f>
        <v>Cốc uống trà bằng gốm đất nung không tráng men (Tử Sa) họa tiết Thiên Hương, dung tích 180ml, không hiệu, NSX: Shenzhen Tao Hui Industrial Co., Ltd., Mới 100%</v>
      </c>
      <c r="C19" s="179" t="str">
        <f>'HỢP ĐỒNG'!D25</f>
        <v>PCE</v>
      </c>
      <c r="D19" s="180">
        <f>'HỢP ĐỒNG'!E25</f>
        <v>20</v>
      </c>
      <c r="E19" s="304"/>
      <c r="F19" s="439"/>
      <c r="G19" s="439"/>
      <c r="H19" s="440"/>
      <c r="I19" s="276"/>
      <c r="J19" s="220"/>
      <c r="K19" s="277"/>
      <c r="L19" s="278"/>
    </row>
    <row r="20" spans="1:12" s="68" customFormat="1" ht="60.75" customHeight="1">
      <c r="A20" s="173">
        <f>'HỢP ĐỒNG'!A26</f>
        <v>8</v>
      </c>
      <c r="B20" s="178" t="str">
        <f>'HỢP ĐỒNG'!C26</f>
        <v>Ấm pha trà bằng gốm đất nung không tráng men (Tử Sa) dáng Bát Phương Nung Củi, màu vàng Đoạn Nê, dung tích 270ml, không dùng điện, không hiệu, NSX: Shenzhen Tao Hui Industrial Co., Ltd., Mới 100%</v>
      </c>
      <c r="C20" s="179" t="str">
        <f>'HỢP ĐỒNG'!D26</f>
        <v>PCE</v>
      </c>
      <c r="D20" s="180">
        <f>'HỢP ĐỒNG'!E26</f>
        <v>10</v>
      </c>
      <c r="E20" s="304"/>
      <c r="F20" s="439"/>
      <c r="G20" s="439"/>
      <c r="H20" s="440"/>
      <c r="I20" s="276"/>
      <c r="J20" s="220"/>
      <c r="K20" s="277"/>
      <c r="L20" s="278"/>
    </row>
    <row r="21" spans="1:12" s="68" customFormat="1" ht="60.75" customHeight="1">
      <c r="A21" s="173">
        <f>'HỢP ĐỒNG'!A27</f>
        <v>9</v>
      </c>
      <c r="B21" s="178" t="str">
        <f>'HỢP ĐỒNG'!C27</f>
        <v>Ấm pha trà bằng gốm đất nung không tráng men (Tử Sa) dáng Thạch Biều, màu xanh Lục Nê, dung tích 260ml, không dùng điện, không hiệu, NSX: Shenzhen Tao Hui Industrial Co., Ltd., Mới 100%</v>
      </c>
      <c r="C21" s="179" t="str">
        <f>'HỢP ĐỒNG'!D27</f>
        <v>PCE</v>
      </c>
      <c r="D21" s="180">
        <f>'HỢP ĐỒNG'!E27</f>
        <v>5</v>
      </c>
      <c r="E21" s="304"/>
      <c r="F21" s="439"/>
      <c r="G21" s="439"/>
      <c r="H21" s="440"/>
      <c r="I21" s="276"/>
      <c r="J21" s="220"/>
      <c r="K21" s="277"/>
      <c r="L21" s="278"/>
    </row>
    <row r="22" spans="1:12" s="68" customFormat="1" ht="60.75" customHeight="1">
      <c r="A22" s="173">
        <f>'HỢP ĐỒNG'!A28</f>
        <v>10</v>
      </c>
      <c r="B22" s="178" t="str">
        <f>'HỢP ĐỒNG'!C28</f>
        <v>Ấm pha trà bằng gốm đất nung không tráng men (Tử Sa) dáng Vân Lư, màu nâu Thiết Huyết Hồng Sa, dung tích 260ml, không dùng điện, không hiệu, NSX: Shenzhen Tao Hui Industrial Co., Ltd., Mới 100%</v>
      </c>
      <c r="C22" s="179" t="str">
        <f>'HỢP ĐỒNG'!D28</f>
        <v>PCE</v>
      </c>
      <c r="D22" s="180">
        <f>'HỢP ĐỒNG'!E28</f>
        <v>10</v>
      </c>
      <c r="E22" s="304"/>
      <c r="F22" s="439"/>
      <c r="G22" s="439"/>
      <c r="H22" s="440"/>
      <c r="I22" s="276"/>
      <c r="J22" s="220"/>
      <c r="K22" s="277"/>
      <c r="L22" s="278"/>
    </row>
    <row r="23" spans="1:12" s="68" customFormat="1" ht="60.75" customHeight="1">
      <c r="A23" s="173">
        <f>'HỢP ĐỒNG'!A29</f>
        <v>11</v>
      </c>
      <c r="B23" s="178" t="str">
        <f>'HỢP ĐỒNG'!C29</f>
        <v>Ấm pha trà bằng gốm đất nung không tráng men (Tử Sa) dáng Tứ Phương Liên Hoa dung tích 230ml, không dùng điện, không hiệu, NSX: Shenzhen Tao Hui Industrial Co., Ltd., Mới 100%</v>
      </c>
      <c r="C23" s="179" t="str">
        <f>'HỢP ĐỒNG'!D29</f>
        <v>PCE</v>
      </c>
      <c r="D23" s="180">
        <f>'HỢP ĐỒNG'!E29</f>
        <v>10</v>
      </c>
      <c r="E23" s="304"/>
      <c r="F23" s="439"/>
      <c r="G23" s="439"/>
      <c r="H23" s="440"/>
      <c r="I23" s="276"/>
      <c r="J23" s="220"/>
      <c r="K23" s="277"/>
      <c r="L23" s="278"/>
    </row>
    <row r="24" spans="1:12" s="68" customFormat="1" ht="60.75" customHeight="1">
      <c r="A24" s="173">
        <f>'HỢP ĐỒNG'!A30</f>
        <v>12</v>
      </c>
      <c r="B24" s="178" t="str">
        <f>'HỢP ĐỒNG'!C30</f>
        <v>Ấm pha trà bằng gốm đất nung không tráng men (Tử Sa) dáng Long Đán, màu nâu Tử Nê, dung tích 220ml, không dùng điện, không hiệu, NSX: Shenzhen Tao Hui Industrial Co., Ltd., Mới 100%</v>
      </c>
      <c r="C24" s="179" t="str">
        <f>'HỢP ĐỒNG'!D30</f>
        <v>PCE</v>
      </c>
      <c r="D24" s="180">
        <f>'HỢP ĐỒNG'!E30</f>
        <v>3</v>
      </c>
      <c r="E24" s="304"/>
      <c r="F24" s="439">
        <v>1</v>
      </c>
      <c r="G24" s="439">
        <v>45</v>
      </c>
      <c r="H24" s="440">
        <v>47</v>
      </c>
      <c r="I24" s="276"/>
      <c r="J24" s="220"/>
      <c r="K24" s="277"/>
      <c r="L24" s="278"/>
    </row>
    <row r="25" spans="1:12" s="68" customFormat="1" ht="60.75" customHeight="1">
      <c r="A25" s="173">
        <f>'HỢP ĐỒNG'!A31</f>
        <v>13</v>
      </c>
      <c r="B25" s="178" t="str">
        <f>'HỢP ĐỒNG'!C31</f>
        <v>Ấm pha trà bằng gốm đất nung không tráng men (Tử Sa) dáng Phan Hồ, màu đỏ Đại Hồng Bào, dung tích 250ml, không dùng điện, không hiệu, NSX: Shenzhen Tao Hui Industrial Co., Ltd., Mới 100%</v>
      </c>
      <c r="C25" s="179" t="str">
        <f>'HỢP ĐỒNG'!D31</f>
        <v>PCE</v>
      </c>
      <c r="D25" s="180">
        <f>'HỢP ĐỒNG'!E31</f>
        <v>3</v>
      </c>
      <c r="E25" s="304"/>
      <c r="F25" s="439"/>
      <c r="G25" s="439"/>
      <c r="H25" s="440"/>
      <c r="I25" s="276"/>
      <c r="J25" s="220"/>
      <c r="K25" s="277"/>
      <c r="L25" s="278"/>
    </row>
    <row r="26" spans="1:12" s="68" customFormat="1" ht="60.75" customHeight="1">
      <c r="A26" s="173">
        <f>'HỢP ĐỒNG'!A32</f>
        <v>14</v>
      </c>
      <c r="B26" s="178" t="str">
        <f>'HỢP ĐỒNG'!C32</f>
        <v>Ấm pha trà bằng gốm đất nung không tráng men (Tử Sa) dáng Tây Thi, dung tích 420ml, không dùng điện, không hiệu, NSX: Shenzhen Tao Hui Industrial Co., Ltd., Mới 100%</v>
      </c>
      <c r="C26" s="179" t="str">
        <f>'HỢP ĐỒNG'!D32</f>
        <v>PCE</v>
      </c>
      <c r="D26" s="180">
        <f>'HỢP ĐỒNG'!E32</f>
        <v>5</v>
      </c>
      <c r="E26" s="304"/>
      <c r="F26" s="439"/>
      <c r="G26" s="439"/>
      <c r="H26" s="440"/>
      <c r="I26" s="276"/>
      <c r="J26" s="220"/>
      <c r="K26" s="277"/>
      <c r="L26" s="278"/>
    </row>
    <row r="27" spans="1:12" s="68" customFormat="1" ht="60.75" customHeight="1">
      <c r="A27" s="173">
        <f>'HỢP ĐỒNG'!A33</f>
        <v>15</v>
      </c>
      <c r="B27" s="178" t="str">
        <f>'HỢP ĐỒNG'!C33</f>
        <v>Khay để ấm trà (Thuyền Trà) bằng gốm đất nung không tráng men (Tử Sa) đường kính 19.5cm, họa tiết Sơn Cảnh, đóng hộp quà tặng, không hiệu, NSX: Shenzhen Tao Hui Industrial Co., Ltd., Mới 100%</v>
      </c>
      <c r="C27" s="179" t="str">
        <f>'HỢP ĐỒNG'!D33</f>
        <v>PCE</v>
      </c>
      <c r="D27" s="180">
        <f>'HỢP ĐỒNG'!E33</f>
        <v>5</v>
      </c>
      <c r="E27" s="304"/>
      <c r="F27" s="439"/>
      <c r="G27" s="439"/>
      <c r="H27" s="440"/>
      <c r="I27" s="276"/>
      <c r="J27" s="220"/>
      <c r="K27" s="277"/>
      <c r="L27" s="278"/>
    </row>
    <row r="28" spans="1:12" s="68" customFormat="1" ht="60.75" customHeight="1">
      <c r="A28" s="173">
        <f>'HỢP ĐỒNG'!A34</f>
        <v>16</v>
      </c>
      <c r="B28" s="178" t="str">
        <f>'HỢP ĐỒNG'!C34</f>
        <v>Ang trà ( bát tráng trà) bằng gốm đất nung không tráng men (Tử Sa), màu cam Chu Nê, họa tiết Tâm Kinh đường kính 27.8cm, không hiệu, NSX: Shenzhen Tao Hui Industrial Co., Ltd., Mới 100%</v>
      </c>
      <c r="C28" s="179" t="str">
        <f>'HỢP ĐỒNG'!D34</f>
        <v>PCE</v>
      </c>
      <c r="D28" s="180">
        <f>'HỢP ĐỒNG'!E34</f>
        <v>5</v>
      </c>
      <c r="E28" s="304"/>
      <c r="F28" s="439"/>
      <c r="G28" s="439"/>
      <c r="H28" s="440"/>
      <c r="I28" s="276"/>
      <c r="J28" s="220"/>
      <c r="K28" s="277"/>
      <c r="L28" s="278"/>
    </row>
    <row r="29" spans="1:12" s="68" customFormat="1" ht="60.75" customHeight="1">
      <c r="A29" s="173">
        <f>'HỢP ĐỒNG'!A35</f>
        <v>17</v>
      </c>
      <c r="B29" s="178" t="str">
        <f>'HỢP ĐỒNG'!C35</f>
        <v>Ấm pha trà bằng gốm đất nung không tráng men (Tử Sa) dáng Thạch Biều Cảnh Chu, màu nâu Tử Nê, dung tích 230ml, không dùng điện, không hiệu, NSX: Shenzhen Tao Hui Industrial Co., Ltd., Mới 100%</v>
      </c>
      <c r="C29" s="179" t="str">
        <f>'HỢP ĐỒNG'!D35</f>
        <v>PCE</v>
      </c>
      <c r="D29" s="180">
        <f>'HỢP ĐỒNG'!E35</f>
        <v>5</v>
      </c>
      <c r="E29" s="304"/>
      <c r="F29" s="439"/>
      <c r="G29" s="439"/>
      <c r="H29" s="440"/>
      <c r="I29" s="276"/>
      <c r="J29" s="220"/>
      <c r="K29" s="277"/>
      <c r="L29" s="278"/>
    </row>
    <row r="30" spans="1:12" s="68" customFormat="1" ht="60.75" customHeight="1">
      <c r="A30" s="173">
        <f>'HỢP ĐỒNG'!A36</f>
        <v>18</v>
      </c>
      <c r="B30" s="178" t="str">
        <f>'HỢP ĐỒNG'!C36</f>
        <v>Ấm pha trà bằng gốm đất nung không tráng men (Tử Sa) dáng Mỹ Nhân Kiên, màu đỏ Đại Hồng Bào, dung tích 190ml, không dùng điện, không hiệu, NSX: Shenzhen Tao Hui Industrial Co., Ltd., Mới 100%</v>
      </c>
      <c r="C30" s="179" t="str">
        <f>'HỢP ĐỒNG'!D36</f>
        <v>PCE</v>
      </c>
      <c r="D30" s="180">
        <f>'HỢP ĐỒNG'!E36</f>
        <v>5</v>
      </c>
      <c r="E30" s="304"/>
      <c r="F30" s="439"/>
      <c r="G30" s="439"/>
      <c r="H30" s="440"/>
      <c r="I30" s="276"/>
      <c r="J30" s="220"/>
      <c r="K30" s="277"/>
      <c r="L30" s="278"/>
    </row>
    <row r="31" spans="1:12" s="68" customFormat="1" ht="60.75" customHeight="1">
      <c r="A31" s="173">
        <f>'HỢP ĐỒNG'!A37</f>
        <v>19</v>
      </c>
      <c r="B31" s="178" t="str">
        <f>'HỢP ĐỒNG'!C37</f>
        <v>Ấm pha trà bằng gốm đất nung không tráng men (Tử Sa) dáng Tây Thi Song Sắc, dung tích 200ml, không dùng điện, không hiệu, NSX: Shenzhen Tao Hui Industrial Co., Ltd., Mới 100%</v>
      </c>
      <c r="C31" s="179" t="str">
        <f>'HỢP ĐỒNG'!D37</f>
        <v>PCE</v>
      </c>
      <c r="D31" s="180">
        <f>'HỢP ĐỒNG'!E37</f>
        <v>3</v>
      </c>
      <c r="E31" s="304"/>
      <c r="F31" s="439"/>
      <c r="G31" s="439"/>
      <c r="H31" s="440"/>
      <c r="I31" s="276"/>
      <c r="J31" s="220"/>
      <c r="K31" s="277"/>
      <c r="L31" s="278"/>
    </row>
    <row r="32" spans="1:12" s="68" customFormat="1" ht="60.75" customHeight="1">
      <c r="A32" s="173">
        <f>'HỢP ĐỒNG'!A38</f>
        <v>20</v>
      </c>
      <c r="B32" s="178" t="str">
        <f>'HỢP ĐỒNG'!C38</f>
        <v>Công tắc điều khiển dòng chảy, model: HFS-25, dùng cho công nghiệp đóng ngắt dòng điện 5A. KT: (10*7*5)cm+/-10%, đk: ren 1-3/4inch, đ/áp: 220V, hiệu: SUNSES, mới 100%</v>
      </c>
      <c r="C32" s="179" t="str">
        <f>'HỢP ĐỒNG'!D38</f>
        <v>PCE</v>
      </c>
      <c r="D32" s="180">
        <f>'HỢP ĐỒNG'!E38</f>
        <v>500</v>
      </c>
      <c r="E32" s="304"/>
      <c r="F32" s="439">
        <v>12</v>
      </c>
      <c r="G32" s="439">
        <v>222</v>
      </c>
      <c r="H32" s="440">
        <v>246</v>
      </c>
      <c r="I32" s="276"/>
      <c r="J32" s="220"/>
      <c r="K32" s="277"/>
      <c r="L32" s="278"/>
    </row>
    <row r="33" spans="1:12" s="68" customFormat="1" ht="60.75" customHeight="1">
      <c r="A33" s="173">
        <f>'HỢP ĐỒNG'!A39</f>
        <v>21</v>
      </c>
      <c r="B33" s="178" t="str">
        <f>'HỢP ĐỒNG'!C39</f>
        <v>Công tắc áp suất khí nén KP, bằng nhựa kết hợp đồng, để điều chỉnh áp suất trong hệ thống khí nén, đ/áp: 220V/5A, không hiệu. NSX: Zhejiang Machinery Technology Co., LTD, mới 100%</v>
      </c>
      <c r="C33" s="179" t="str">
        <f>'HỢP ĐỒNG'!D39</f>
        <v>PCE</v>
      </c>
      <c r="D33" s="180">
        <f>'HỢP ĐỒNG'!E39</f>
        <v>300</v>
      </c>
      <c r="E33" s="304"/>
      <c r="F33" s="439"/>
      <c r="G33" s="439"/>
      <c r="H33" s="440"/>
      <c r="I33" s="276"/>
      <c r="J33" s="220"/>
      <c r="K33" s="277"/>
      <c r="L33" s="278"/>
    </row>
    <row r="34" spans="1:12" s="68" customFormat="1" ht="60.75" customHeight="1">
      <c r="A34" s="173">
        <f>'HỢP ĐỒNG'!A40</f>
        <v>22</v>
      </c>
      <c r="B34" s="178" t="str">
        <f>'HỢP ĐỒNG'!C40</f>
        <v>Đế chia khí dùng cho đường ống khí nén, bằng hợp kim nhôm, loại 3-5 cổng, ren 13mm, áp suất làm việc 1 MPa. KT: (15*5*2)cm+/-10%, không hiệu, nsx: NSX Aikes Pneumatic Components Co., Ltd, mới 100%</v>
      </c>
      <c r="C34" s="179" t="str">
        <f>'HỢP ĐỒNG'!D40</f>
        <v>PCE</v>
      </c>
      <c r="D34" s="180">
        <f>'HỢP ĐỒNG'!E40</f>
        <v>300</v>
      </c>
      <c r="E34" s="304"/>
      <c r="F34" s="439"/>
      <c r="G34" s="439"/>
      <c r="H34" s="440"/>
      <c r="I34" s="276"/>
      <c r="J34" s="220"/>
      <c r="K34" s="277"/>
      <c r="L34" s="278"/>
    </row>
    <row r="35" spans="1:12" s="68" customFormat="1" ht="60.75" customHeight="1">
      <c r="A35" s="173">
        <f>'HỢP ĐỒNG'!A41</f>
        <v>23</v>
      </c>
      <c r="B35" s="178" t="str">
        <f>'HỢP ĐỒNG'!C41</f>
        <v xml:space="preserve">Vợt pickleball, model: Bomba X, sử dụng công nghệ ép nóng, lõi eva foam, bề mặt bằng sợi carbon. KT: (40*20*3)cm+/-10%, hiệu: Do-An, mới 100%
</v>
      </c>
      <c r="C35" s="179" t="str">
        <f>'HỢP ĐỒNG'!D41</f>
        <v>PCE</v>
      </c>
      <c r="D35" s="180">
        <f>'HỢP ĐỒNG'!E41</f>
        <v>400</v>
      </c>
      <c r="E35" s="304"/>
      <c r="F35" s="395">
        <v>4</v>
      </c>
      <c r="G35" s="395">
        <v>50</v>
      </c>
      <c r="H35" s="364">
        <v>58</v>
      </c>
      <c r="I35" s="276"/>
      <c r="J35" s="220"/>
      <c r="K35" s="277"/>
      <c r="L35" s="278"/>
    </row>
    <row r="36" spans="1:12" s="68" customFormat="1" ht="60.75" customHeight="1">
      <c r="A36" s="173">
        <f>'HỢP ĐỒNG'!A42</f>
        <v>24</v>
      </c>
      <c r="B36" s="178" t="str">
        <f>'HỢP ĐỒNG'!C42</f>
        <v>Yếm cho thú cưng, chất liệu vải dệt từ sợi tổng hợp. KT: (25*20*2)cm+/-10%, không hiệu. NSX: Ningbo Jia Chong International Trade Co., Ltd.., mới 100%</v>
      </c>
      <c r="C36" s="179" t="str">
        <f>'HỢP ĐỒNG'!D42</f>
        <v>PCE</v>
      </c>
      <c r="D36" s="180">
        <f>'HỢP ĐỒNG'!E42</f>
        <v>270</v>
      </c>
      <c r="E36" s="304"/>
      <c r="F36" s="439">
        <v>5</v>
      </c>
      <c r="G36" s="439">
        <v>112</v>
      </c>
      <c r="H36" s="440">
        <v>122</v>
      </c>
      <c r="I36" s="276"/>
      <c r="J36" s="220"/>
      <c r="K36" s="277"/>
      <c r="L36" s="278"/>
    </row>
    <row r="37" spans="1:12" s="68" customFormat="1" ht="60.75" customHeight="1">
      <c r="A37" s="173">
        <f>'HỢP ĐỒNG'!A43</f>
        <v>25</v>
      </c>
      <c r="B37" s="178" t="str">
        <f>'HỢP ĐỒNG'!C43</f>
        <v>Dây dắt thú cưng, chất liệu vải dù. KT: 1.2cm*1.5m+/-10%, không hiệu. NSX: Ningbo Jia Chong International Trade Co., Ltd.., mới 100%</v>
      </c>
      <c r="C37" s="179" t="str">
        <f>'HỢP ĐỒNG'!D43</f>
        <v>PCE</v>
      </c>
      <c r="D37" s="180">
        <f>'HỢP ĐỒNG'!E43</f>
        <v>400</v>
      </c>
      <c r="E37" s="304"/>
      <c r="F37" s="439"/>
      <c r="G37" s="439"/>
      <c r="H37" s="440"/>
      <c r="I37" s="276"/>
      <c r="J37" s="220"/>
      <c r="K37" s="277"/>
      <c r="L37" s="278"/>
    </row>
    <row r="38" spans="1:12" s="68" customFormat="1" ht="60.75" customHeight="1">
      <c r="A38" s="173">
        <f>'HỢP ĐỒNG'!A44</f>
        <v>26</v>
      </c>
      <c r="B38" s="178" t="str">
        <f>'HỢP ĐỒNG'!C44</f>
        <v>Thanh giá treo của vòi hoa sen cây (gồm 2 thanh), chất liệu thép không gỉ, chống bám bẩn. KT: (1280*370)mm+/-10%, không hiệu,nsx: Jiangyin Yonghao Machinery Co., Ltd. Mới 100%</v>
      </c>
      <c r="C38" s="179" t="str">
        <f>'HỢP ĐỒNG'!D44</f>
        <v>SET</v>
      </c>
      <c r="D38" s="180">
        <f>'HỢP ĐỒNG'!E44</f>
        <v>1200</v>
      </c>
      <c r="E38" s="304"/>
      <c r="F38" s="395">
        <v>50</v>
      </c>
      <c r="G38" s="395">
        <v>960</v>
      </c>
      <c r="H38" s="364">
        <v>1061</v>
      </c>
      <c r="I38" s="276"/>
      <c r="J38" s="220"/>
      <c r="K38" s="277"/>
      <c r="L38" s="278"/>
    </row>
    <row r="39" spans="1:12" s="68" customFormat="1" ht="60.75" customHeight="1">
      <c r="A39" s="173">
        <f>'HỢP ĐỒNG'!A45</f>
        <v>27</v>
      </c>
      <c r="B39" s="178" t="str">
        <f>'HỢP ĐỒNG'!C45</f>
        <v>Khay chữ nhật, kí hiệu: SL-170, dùng để trang trí, trưng bày trong khách sạn, chất liệu nhựa giả gỗ. KT: (29.7*21.5*6)cm+/-10%, không hiệu. Nsx: Shandong Machinery Co., Ltd. Mới 100%</v>
      </c>
      <c r="C39" s="179" t="str">
        <f>'HỢP ĐỒNG'!D45</f>
        <v>PCE</v>
      </c>
      <c r="D39" s="180">
        <f>'HỢP ĐỒNG'!E45</f>
        <v>48</v>
      </c>
      <c r="E39" s="304"/>
      <c r="F39" s="439">
        <v>12</v>
      </c>
      <c r="G39" s="439">
        <v>178</v>
      </c>
      <c r="H39" s="440">
        <v>202</v>
      </c>
      <c r="I39" s="276"/>
      <c r="J39" s="220"/>
      <c r="K39" s="277"/>
      <c r="L39" s="278"/>
    </row>
    <row r="40" spans="1:12" s="68" customFormat="1" ht="60.75" customHeight="1">
      <c r="A40" s="173">
        <f>'HỢP ĐỒNG'!A46</f>
        <v>28</v>
      </c>
      <c r="B40" s="178" t="str">
        <f>'HỢP ĐỒNG'!C46</f>
        <v>Khay đựng đũa đặt trên bàn ăn dùng trong nhà bếp, không dùng đựng thực phẩm,chất liệu bằng nhựa ABS, kí hiệu: C-1222. KT: (27.3*10.5*6.5)cm+-10%, không hiệu. Nsx: Shandong Machinery Co., Ltd. Mới 100%</v>
      </c>
      <c r="C40" s="179" t="str">
        <f>'HỢP ĐỒNG'!D46</f>
        <v>PCE</v>
      </c>
      <c r="D40" s="180">
        <f>'HỢP ĐỒNG'!E46</f>
        <v>150</v>
      </c>
      <c r="E40" s="304"/>
      <c r="F40" s="439"/>
      <c r="G40" s="439"/>
      <c r="H40" s="440"/>
      <c r="I40" s="276"/>
      <c r="J40" s="220"/>
      <c r="K40" s="277"/>
      <c r="L40" s="278"/>
    </row>
    <row r="41" spans="1:12" s="68" customFormat="1" ht="60.75" customHeight="1">
      <c r="A41" s="173">
        <f>'HỢP ĐỒNG'!A47</f>
        <v>29</v>
      </c>
      <c r="B41" s="178" t="str">
        <f>'HỢP ĐỒNG'!C47</f>
        <v>Khay đựng đũa đặt trên bàn ăn dùng trong nhà bếp, không dùng đựng thực phẩm, chất liệu bằng nhựa ABS, kí hiệu: C-1223. KT: (26.5*8.7*5)cm+-10%, không hiệu. Nsx: Shandong Machinery Co., Ltd. Mới 100%</v>
      </c>
      <c r="C41" s="179" t="str">
        <f>'HỢP ĐỒNG'!D47</f>
        <v>PCE</v>
      </c>
      <c r="D41" s="180">
        <f>'HỢP ĐỒNG'!E47</f>
        <v>150</v>
      </c>
      <c r="E41" s="304"/>
      <c r="F41" s="439"/>
      <c r="G41" s="439"/>
      <c r="H41" s="440"/>
      <c r="I41" s="276"/>
      <c r="J41" s="220"/>
      <c r="K41" s="277"/>
      <c r="L41" s="278"/>
    </row>
    <row r="42" spans="1:12" s="68" customFormat="1" ht="60.75" customHeight="1">
      <c r="A42" s="173">
        <f>'HỢP ĐỒNG'!A48</f>
        <v>30</v>
      </c>
      <c r="B42" s="178" t="str">
        <f>'HỢP ĐỒNG'!C48</f>
        <v>Nồi lẩu sần 2 ngăn NLS2N32B, dùng trong nhà bếp, không dùng điện, chất liệu inox. ĐK: 32cm+/-10%, không hiệu, nsx: Jiangmen Jida Stainless Steel Products Co., Ltd.. Mới 100%</v>
      </c>
      <c r="C42" s="179" t="str">
        <f>'HỢP ĐỒNG'!D48</f>
        <v>PCE</v>
      </c>
      <c r="D42" s="180">
        <f>'HỢP ĐỒNG'!E48</f>
        <v>200</v>
      </c>
      <c r="E42" s="304"/>
      <c r="F42" s="439">
        <v>14</v>
      </c>
      <c r="G42" s="439">
        <v>297</v>
      </c>
      <c r="H42" s="440">
        <v>325</v>
      </c>
      <c r="I42" s="276"/>
      <c r="J42" s="220"/>
      <c r="K42" s="277"/>
      <c r="L42" s="278"/>
    </row>
    <row r="43" spans="1:12" s="68" customFormat="1" ht="60.75" customHeight="1">
      <c r="A43" s="173">
        <f>'HỢP ĐỒNG'!A49</f>
        <v>31</v>
      </c>
      <c r="B43" s="178" t="str">
        <f>'HỢP ĐỒNG'!C49</f>
        <v>Nồi lẩu inox NLS30B, dùng trong nhà bếp, không dùng điện. ĐK: 28cm+/-10%, không hiệu, nsx: Jiangmen Jida Stainless Steel Products Co., Ltd.. Mới 100%</v>
      </c>
      <c r="C43" s="179" t="str">
        <f>'HỢP ĐỒNG'!D49</f>
        <v>PCE</v>
      </c>
      <c r="D43" s="180">
        <f>'HỢP ĐỒNG'!E49</f>
        <v>26</v>
      </c>
      <c r="E43" s="304"/>
      <c r="F43" s="439"/>
      <c r="G43" s="439"/>
      <c r="H43" s="440"/>
      <c r="I43" s="276"/>
      <c r="J43" s="220"/>
      <c r="K43" s="277"/>
      <c r="L43" s="278"/>
    </row>
    <row r="44" spans="1:12" s="68" customFormat="1" ht="60.75" customHeight="1">
      <c r="A44" s="173">
        <f>'HỢP ĐỒNG'!A50</f>
        <v>32</v>
      </c>
      <c r="B44" s="178" t="str">
        <f>'HỢP ĐỒNG'!C50</f>
        <v>Khay chữ nhật có đế, dùng trang trí trưng bày trong khách sạn, không đựng thực phẩm, KH: 990808, CL nhựa ABS.KT: (20.4*15*5.8)cm+/-10%, không hiệu.NSX: Jiangmen Jida Stainless Steel Products. Mới 100%</v>
      </c>
      <c r="C44" s="179" t="str">
        <f>'HỢP ĐỒNG'!D50</f>
        <v>PCE</v>
      </c>
      <c r="D44" s="180">
        <f>'HỢP ĐỒNG'!E50</f>
        <v>120</v>
      </c>
      <c r="E44" s="304"/>
      <c r="F44" s="395">
        <v>2</v>
      </c>
      <c r="G44" s="395">
        <v>41</v>
      </c>
      <c r="H44" s="364">
        <v>45</v>
      </c>
      <c r="I44" s="276"/>
      <c r="J44" s="220"/>
      <c r="K44" s="277"/>
      <c r="L44" s="278"/>
    </row>
    <row r="45" spans="1:12" s="68" customFormat="1" ht="60.75" customHeight="1">
      <c r="A45" s="173">
        <f>'HỢP ĐỒNG'!A51</f>
        <v>33</v>
      </c>
      <c r="B45" s="178" t="str">
        <f>'HỢP ĐỒNG'!C51</f>
        <v>Miếng dán kính cường lực BAIKO GLASS dùng cho điện thoại,loại an toàn 2 lớp (kính dán an toàn nhiều lớp),CL sợi thủy tinh, có lớp bảo vệ bằng nhựa. KT: (185*75*25)mm +/-10%, nhãn hiệu: BAIKO. Mới 100%</v>
      </c>
      <c r="C45" s="179" t="str">
        <f>'HỢP ĐỒNG'!D51</f>
        <v>PCE</v>
      </c>
      <c r="D45" s="180">
        <f>'HỢP ĐỒNG'!E51</f>
        <v>6500</v>
      </c>
      <c r="E45" s="304"/>
      <c r="F45" s="439">
        <v>18</v>
      </c>
      <c r="G45" s="439">
        <v>558</v>
      </c>
      <c r="H45" s="440">
        <v>594</v>
      </c>
      <c r="I45" s="276"/>
      <c r="J45" s="220"/>
      <c r="K45" s="277"/>
      <c r="L45" s="278"/>
    </row>
    <row r="46" spans="1:12" s="68" customFormat="1" ht="60.75" customHeight="1">
      <c r="A46" s="173">
        <f>'HỢP ĐỒNG'!A52</f>
        <v>34</v>
      </c>
      <c r="B46" s="178" t="str">
        <f>'HỢP ĐỒNG'!C52</f>
        <v>Miếng dán kính cường lựcBAIKO GLASS trong suốt ko viền đen dùng cho điện thoại,loại an toàn 2lớp(kính dán an toàn nhiều lớp),CLsợi thủy tinh,có lớp bảo vệ bằng nhựa.KT:(185*75*25)mm,hiệu:BAIKO.Mới100%</v>
      </c>
      <c r="C46" s="179" t="str">
        <f>'HỢP ĐỒNG'!D52</f>
        <v>PCE</v>
      </c>
      <c r="D46" s="180">
        <f>'HỢP ĐỒNG'!E52</f>
        <v>13000</v>
      </c>
      <c r="E46" s="304"/>
      <c r="F46" s="439"/>
      <c r="G46" s="439"/>
      <c r="H46" s="440"/>
      <c r="I46" s="276"/>
      <c r="J46" s="220"/>
      <c r="K46" s="277"/>
      <c r="L46" s="278"/>
    </row>
    <row r="47" spans="1:12" s="68" customFormat="1" ht="60.75" customHeight="1">
      <c r="A47" s="173">
        <f>'HỢP ĐỒNG'!A53</f>
        <v>35</v>
      </c>
      <c r="B47" s="178" t="str">
        <f>'HỢP ĐỒNG'!C53</f>
        <v>Miếng dán kính cường lực BAIKO ULTRA THIN PRIVACY dùng cho điện thoại,loại kính dán nhiều lớp,CL sợi thủy tinh, lớp bảo vệ bằng nhựa. KT (185*75*25)mm +/-10%,nhãn hiệu: BAIKO. Mới 100%</v>
      </c>
      <c r="C47" s="179" t="str">
        <f>'HỢP ĐỒNG'!D53</f>
        <v>PCE</v>
      </c>
      <c r="D47" s="180">
        <f>'HỢP ĐỒNG'!E53</f>
        <v>1620</v>
      </c>
      <c r="E47" s="304"/>
      <c r="F47" s="439"/>
      <c r="G47" s="439"/>
      <c r="H47" s="440"/>
      <c r="I47" s="276"/>
      <c r="J47" s="220"/>
      <c r="K47" s="277"/>
      <c r="L47" s="278"/>
    </row>
    <row r="48" spans="1:12" s="68" customFormat="1" ht="60.75" customHeight="1">
      <c r="A48" s="173">
        <f>'HỢP ĐỒNG'!A54</f>
        <v>36</v>
      </c>
      <c r="B48" s="178" t="str">
        <f>'HỢP ĐỒNG'!C54</f>
        <v>Miếng dán kính cường lực BAIKO GLASS PRIVACY cho điện thoại,loại an toàn 2 lớp (kính dán an toàn nhiều lớp),CL sợi thủy tinh, có lớp bảo vệ bằng nhựa. KT: (185*75*25)mm, nhãn hiệu: BAIKO. Mới 100%</v>
      </c>
      <c r="C48" s="179" t="str">
        <f>'HỢP ĐỒNG'!D54</f>
        <v>PCE</v>
      </c>
      <c r="D48" s="180">
        <f>'HỢP ĐỒNG'!E54</f>
        <v>5000</v>
      </c>
      <c r="E48" s="304"/>
      <c r="F48" s="439"/>
      <c r="G48" s="439"/>
      <c r="H48" s="440"/>
      <c r="I48" s="276"/>
      <c r="J48" s="220"/>
      <c r="K48" s="277"/>
      <c r="L48" s="278"/>
    </row>
    <row r="49" spans="1:12" s="68" customFormat="1" ht="60.75" customHeight="1">
      <c r="A49" s="173">
        <f>'HỢP ĐỒNG'!A55</f>
        <v>37</v>
      </c>
      <c r="B49" s="178" t="str">
        <f>'HỢP ĐỒNG'!C55</f>
        <v>Tấm kính cường lực loại an toàn nhiều lớp, dùng để bảo vệ màn hình điện thoại di dộng, ESD GLASS màu tím, chất liệu sợi thuỷ tinh, lớp bảo vệ bằng nhựa. KT: (185*75*25)mm, nhãn hiệu: BAIKO.Mới 100%</v>
      </c>
      <c r="C49" s="179" t="str">
        <f>'HỢP ĐỒNG'!D55</f>
        <v>PCE</v>
      </c>
      <c r="D49" s="180">
        <f>'HỢP ĐỒNG'!E55</f>
        <v>3000</v>
      </c>
      <c r="E49" s="304"/>
      <c r="F49" s="439"/>
      <c r="G49" s="439"/>
      <c r="H49" s="440"/>
      <c r="I49" s="276"/>
      <c r="J49" s="220"/>
      <c r="K49" s="277"/>
      <c r="L49" s="278"/>
    </row>
    <row r="50" spans="1:12" s="68" customFormat="1" ht="60.75" customHeight="1">
      <c r="A50" s="173">
        <f>'HỢP ĐỒNG'!A56</f>
        <v>38</v>
      </c>
      <c r="B50" s="178" t="str">
        <f>'HỢP ĐỒNG'!C56</f>
        <v>Dây kẽm nhung (lõi kẽm bọc vải nhung) dùng để làm hoa giả, 100 sợi/bó. 1 bó=1 set. KT: đường kính 0.8cm, dài 30cm+/-10%, không hiệu. NSX: Yiwu Tianhong Crafts Co., Ltd, mới 100%</v>
      </c>
      <c r="C50" s="179" t="str">
        <f>'HỢP ĐỒNG'!D56</f>
        <v>SET</v>
      </c>
      <c r="D50" s="180">
        <f>'HỢP ĐỒNG'!E56</f>
        <v>6000</v>
      </c>
      <c r="E50" s="304"/>
      <c r="F50" s="395">
        <v>30</v>
      </c>
      <c r="G50" s="395">
        <v>705</v>
      </c>
      <c r="H50" s="364">
        <v>773</v>
      </c>
      <c r="I50" s="276"/>
      <c r="J50" s="220"/>
      <c r="K50" s="277"/>
      <c r="L50" s="278"/>
    </row>
    <row r="51" spans="1:12" s="68" customFormat="1" ht="60.75" customHeight="1">
      <c r="A51" s="173">
        <f>'HỢP ĐỒNG'!A57</f>
        <v>39</v>
      </c>
      <c r="B51" s="178" t="str">
        <f>'HỢP ĐỒNG'!C57</f>
        <v>Miếng nhám cọ rửa bát đĩa, chất liệu lớp mút xốp bằng nhựa, dạng mút xốp kết hợp lớp nhám. KT: (10*6*2)cm+/-10%, không hiệu, nsx: Fengrun Commodity Co., Ltd. Mới 100%</v>
      </c>
      <c r="C51" s="179" t="str">
        <f>'HỢP ĐỒNG'!D57</f>
        <v>PCE</v>
      </c>
      <c r="D51" s="180">
        <f>'HỢP ĐỒNG'!E57</f>
        <v>30000</v>
      </c>
      <c r="E51" s="304"/>
      <c r="F51" s="395">
        <v>120</v>
      </c>
      <c r="G51" s="395">
        <v>300</v>
      </c>
      <c r="H51" s="364">
        <v>480</v>
      </c>
      <c r="I51" s="276"/>
      <c r="J51" s="220"/>
      <c r="K51" s="277"/>
      <c r="L51" s="278"/>
    </row>
    <row r="52" spans="1:12" s="68" customFormat="1" ht="60.75" customHeight="1">
      <c r="A52" s="173">
        <f>'HỢP ĐỒNG'!A58</f>
        <v>40</v>
      </c>
      <c r="B52" s="178" t="str">
        <f>'HỢP ĐỒNG'!C58</f>
        <v>Hộp 4 bút bi mực gel, thân vỏ bút bằng nhựa tổng hợp có in họa tiết. KT: (dài 18*0.8cm)+-10%, không hiệu. Nsx Baiqi Hourglass Pens Co.Ltd, mới 100%</v>
      </c>
      <c r="C52" s="179" t="str">
        <f>'HỢP ĐỒNG'!D58</f>
        <v>UNK</v>
      </c>
      <c r="D52" s="180">
        <f>'HỢP ĐỒNG'!E58</f>
        <v>2500</v>
      </c>
      <c r="E52" s="304"/>
      <c r="F52" s="439">
        <v>36</v>
      </c>
      <c r="G52" s="439">
        <v>673</v>
      </c>
      <c r="H52" s="440">
        <v>745</v>
      </c>
      <c r="I52" s="276"/>
      <c r="J52" s="220"/>
      <c r="K52" s="277"/>
      <c r="L52" s="278"/>
    </row>
    <row r="53" spans="1:12" s="68" customFormat="1" ht="60.75" customHeight="1">
      <c r="A53" s="173">
        <f>'HỢP ĐỒNG'!A59</f>
        <v>41</v>
      </c>
      <c r="B53" s="178" t="str">
        <f>'HỢP ĐỒNG'!C59</f>
        <v>Túi đựng dụng cụ học tập 1 ngăn in họa tiết basic loại đựng trong túi, cặp chất liệu và mặt ngoài bằng vải dệt. KT: (20*8*6)cm+/-10%, không hiệu. NSX: Shanghai Stationery Inc. Mới 100%</v>
      </c>
      <c r="C53" s="179" t="str">
        <f>'HỢP ĐỒNG'!D59</f>
        <v>PCE</v>
      </c>
      <c r="D53" s="180">
        <f>'HỢP ĐỒNG'!E59</f>
        <v>14500</v>
      </c>
      <c r="E53" s="304"/>
      <c r="F53" s="439"/>
      <c r="G53" s="439"/>
      <c r="H53" s="440"/>
      <c r="I53" s="276"/>
      <c r="J53" s="220"/>
      <c r="K53" s="277"/>
      <c r="L53" s="278"/>
    </row>
    <row r="54" spans="1:12" s="68" customFormat="1" ht="60.75" customHeight="1">
      <c r="A54" s="173">
        <f>'HỢP ĐỒNG'!A60</f>
        <v>42</v>
      </c>
      <c r="B54" s="178" t="str">
        <f>'HỢP ĐỒNG'!C60</f>
        <v>Túi đựng dụng cụ học tập 2 ngăn loại đựng trong túi, cặp chất liệu và mặt ngoài bằng vải dệt không thấm nước. KT: (20*10*6)cm+/-10%, không hiệu. NSX:Yiwu Jiayi Daily Necessities Factory,mới 100%</v>
      </c>
      <c r="C54" s="179" t="str">
        <f>'HỢP ĐỒNG'!D60</f>
        <v>PCE</v>
      </c>
      <c r="D54" s="180">
        <f>'HỢP ĐỒNG'!E60</f>
        <v>1000</v>
      </c>
      <c r="E54" s="304"/>
      <c r="F54" s="439"/>
      <c r="G54" s="439"/>
      <c r="H54" s="440"/>
      <c r="I54" s="276"/>
      <c r="J54" s="220"/>
      <c r="K54" s="277"/>
      <c r="L54" s="278"/>
    </row>
    <row r="55" spans="1:12" s="68" customFormat="1" ht="60.75" customHeight="1">
      <c r="A55" s="173">
        <f>'HỢP ĐỒNG'!A61</f>
        <v>43</v>
      </c>
      <c r="B55" s="178" t="str">
        <f>'HỢP ĐỒNG'!C61</f>
        <v>Máy làm đá viên, model: FPS-1500P. KT máy: (1225*970*1920)mm, kt thùng chứa đá: (1330*720*930)mm+/-10%, đ/áp: 220V/50Hz, CS: 682kg/24h. Nhãn hiệu: ASIMA, mới 100%</v>
      </c>
      <c r="C55" s="179" t="str">
        <f>'HỢP ĐỒNG'!D61</f>
        <v>PCE</v>
      </c>
      <c r="D55" s="180">
        <f>'HỢP ĐỒNG'!E61</f>
        <v>3</v>
      </c>
      <c r="E55" s="304"/>
      <c r="F55" s="395">
        <v>6</v>
      </c>
      <c r="G55" s="395">
        <v>811</v>
      </c>
      <c r="H55" s="364">
        <v>823</v>
      </c>
      <c r="I55" s="276"/>
      <c r="J55" s="220"/>
      <c r="K55" s="277"/>
      <c r="L55" s="278"/>
    </row>
    <row r="56" spans="1:12" s="68" customFormat="1" ht="60.75" customHeight="1">
      <c r="A56" s="173">
        <f>'HỢP ĐỒNG'!A62</f>
        <v>44</v>
      </c>
      <c r="B56" s="178" t="str">
        <f>'HỢP ĐỒNG'!C62</f>
        <v>Máy massage đầu gối 5 chế độ hoạt động, dùng để massage thư giãn, giảm mỏi cơ vùng đầu gối. Công suất: 3.7V/10W, dung lượng pin 2000 mAh. Model: DG11.Hiệu: DELAX, mới 100%</v>
      </c>
      <c r="C56" s="179" t="str">
        <f>'HỢP ĐỒNG'!D62</f>
        <v>PCE</v>
      </c>
      <c r="D56" s="180">
        <f>'HỢP ĐỒNG'!E62</f>
        <v>400</v>
      </c>
      <c r="E56" s="304"/>
      <c r="F56" s="395">
        <v>34</v>
      </c>
      <c r="G56" s="395">
        <v>238</v>
      </c>
      <c r="H56" s="364">
        <v>306</v>
      </c>
      <c r="I56" s="276"/>
      <c r="J56" s="220"/>
      <c r="K56" s="277"/>
      <c r="L56" s="278"/>
    </row>
    <row r="57" spans="1:12" s="68" customFormat="1" ht="60.75" customHeight="1">
      <c r="A57" s="173">
        <f>'HỢP ĐỒNG'!A63</f>
        <v>45</v>
      </c>
      <c r="B57" s="178" t="str">
        <f>'HỢP ĐỒNG'!C63</f>
        <v>Chậu rửa bát bằng inox 201, chống ngưng tụ nước, 1 hộc dùng trong nhà bếp. KT: (450*400*215)mm+/-10%, kí hiệu: 4540-D(201)2.7mm, không hiệu. NSX: Foshan Jinyunke Kitchen &amp; Bath Co., Ltd., mới 100%</v>
      </c>
      <c r="C57" s="179" t="str">
        <f>'HỢP ĐỒNG'!D63</f>
        <v>PCE</v>
      </c>
      <c r="D57" s="180">
        <f>'HỢP ĐỒNG'!E63</f>
        <v>400</v>
      </c>
      <c r="E57" s="304"/>
      <c r="F57" s="439">
        <v>79</v>
      </c>
      <c r="G57" s="439">
        <v>7029</v>
      </c>
      <c r="H57" s="440">
        <v>7187.4</v>
      </c>
      <c r="I57" s="276"/>
      <c r="J57" s="220"/>
      <c r="K57" s="277"/>
      <c r="L57" s="278"/>
    </row>
    <row r="58" spans="1:12" s="68" customFormat="1" ht="60.75" customHeight="1">
      <c r="A58" s="173">
        <f>'HỢP ĐỒNG'!A64</f>
        <v>46</v>
      </c>
      <c r="B58" s="178" t="str">
        <f>'HỢP ĐỒNG'!C64</f>
        <v>Chậu rửa bát bằng inox 201, chống ngưng tụ nước, 1 hộc dùng trong nhà bếp. KT: (500*400*215)mm+/-10%, kí hiệu: 5040-D(201)2.7mm, không hiệu. NSX: Foshan Jinyunke Kitchen &amp; Bath Co., Ltd., mới 100%</v>
      </c>
      <c r="C58" s="179" t="str">
        <f>'HỢP ĐỒNG'!D64</f>
        <v>PCE</v>
      </c>
      <c r="D58" s="180">
        <f>'HỢP ĐỒNG'!E64</f>
        <v>200</v>
      </c>
      <c r="E58" s="304"/>
      <c r="F58" s="439"/>
      <c r="G58" s="439"/>
      <c r="H58" s="440"/>
      <c r="I58" s="276"/>
      <c r="J58" s="220"/>
      <c r="K58" s="277"/>
      <c r="L58" s="278"/>
    </row>
    <row r="59" spans="1:12" s="68" customFormat="1" ht="60.75" customHeight="1">
      <c r="A59" s="173">
        <f>'HỢP ĐỒNG'!A65</f>
        <v>47</v>
      </c>
      <c r="B59" s="178" t="str">
        <f>'HỢP ĐỒNG'!C65</f>
        <v>Chậu rửa bát bằng inox 201, chống ngưng tụ nước, 1 hộc dùng trong nhà bếp. KT: (600*450*215)mm+/-10%, kí hiệu: 6045-D(201)2.7mm, không hiệu. NSX: Foshan Jinyunke Kitchen &amp; Bath Co., Ltd., mới 100%</v>
      </c>
      <c r="C59" s="179" t="str">
        <f>'HỢP ĐỒNG'!D65</f>
        <v>PCE</v>
      </c>
      <c r="D59" s="180">
        <f>'HỢP ĐỒNG'!E65</f>
        <v>400</v>
      </c>
      <c r="E59" s="304"/>
      <c r="F59" s="439"/>
      <c r="G59" s="439"/>
      <c r="H59" s="440"/>
      <c r="I59" s="276"/>
      <c r="J59" s="220"/>
      <c r="K59" s="277"/>
      <c r="L59" s="278"/>
    </row>
    <row r="60" spans="1:12" s="68" customFormat="1" ht="60.75" customHeight="1">
      <c r="A60" s="173">
        <f>'HỢP ĐỒNG'!A66</f>
        <v>48</v>
      </c>
      <c r="B60" s="178" t="str">
        <f>'HỢP ĐỒNG'!C66</f>
        <v>Chậu rửa bát bằng inox 201, chống ngưng tụ nước, 1 hộc dùng trong nhà bếp. KT: (600*450*215)mm+/-10%, kí hiệu: 6045-AE(201)2.7mm, không hiệu. NSX: Foshan Jinyunke Kitchen &amp; Bath Co., Ltd., mới 100%</v>
      </c>
      <c r="C60" s="179" t="str">
        <f>'HỢP ĐỒNG'!D66</f>
        <v>PCE</v>
      </c>
      <c r="D60" s="180">
        <f>'HỢP ĐỒNG'!E66</f>
        <v>200</v>
      </c>
      <c r="E60" s="304"/>
      <c r="F60" s="439"/>
      <c r="G60" s="439"/>
      <c r="H60" s="440"/>
      <c r="I60" s="276"/>
      <c r="J60" s="220"/>
      <c r="K60" s="277"/>
      <c r="L60" s="278"/>
    </row>
    <row r="61" spans="1:12" s="68" customFormat="1" ht="60.75" customHeight="1">
      <c r="A61" s="173">
        <f>'HỢP ĐỒNG'!A67</f>
        <v>49</v>
      </c>
      <c r="B61" s="178" t="str">
        <f>'HỢP ĐỒNG'!C67</f>
        <v>Chậu rửa bát bằng inox 304, chống ngưng tụ nước, 1 hộc dùng trong nhà bếp, KT: (750*460*215)mm+/-10%, kí hiệu: 7546-B(304)5.0mm, không hiệu. NSX: Foshan Jinyunke Kitchen &amp; Bath Co., Ltd., mới 100%</v>
      </c>
      <c r="C61" s="179" t="str">
        <f>'HỢP ĐỒNG'!D67</f>
        <v>PCE</v>
      </c>
      <c r="D61" s="180">
        <f>'HỢP ĐỒNG'!E67</f>
        <v>60</v>
      </c>
      <c r="E61" s="304"/>
      <c r="F61" s="439"/>
      <c r="G61" s="439"/>
      <c r="H61" s="440"/>
      <c r="I61" s="276"/>
      <c r="J61" s="220"/>
      <c r="K61" s="277"/>
      <c r="L61" s="278"/>
    </row>
    <row r="62" spans="1:12" s="68" customFormat="1" ht="60.75" customHeight="1">
      <c r="A62" s="173">
        <f>'HỢP ĐỒNG'!A68</f>
        <v>50</v>
      </c>
      <c r="B62" s="178" t="str">
        <f>'HỢP ĐỒNG'!C68</f>
        <v>Chậu rửa bát bằng inox 201, chống ngưng tụ nước, 1 hộc dùng trong nhà bếp, KT: (780*460*215)mm+/-10%, kí hiệu: 7846-A(201)2.7mm, không hiệu. NSX: Foshan Jinyunke Kitchen &amp; Bath Co., Ltd., mới 100%</v>
      </c>
      <c r="C62" s="179" t="str">
        <f>'HỢP ĐỒNG'!D68</f>
        <v>PCE</v>
      </c>
      <c r="D62" s="180">
        <f>'HỢP ĐỒNG'!E68</f>
        <v>100</v>
      </c>
      <c r="E62" s="304"/>
      <c r="F62" s="439"/>
      <c r="G62" s="439"/>
      <c r="H62" s="440"/>
      <c r="I62" s="276"/>
      <c r="J62" s="220"/>
      <c r="K62" s="277"/>
      <c r="L62" s="278"/>
    </row>
    <row r="63" spans="1:12" s="68" customFormat="1" ht="60.75" customHeight="1">
      <c r="A63" s="173">
        <f>'HỢP ĐỒNG'!A69</f>
        <v>51</v>
      </c>
      <c r="B63" s="178" t="str">
        <f>'HỢP ĐỒNG'!C69</f>
        <v>Chậu rửa bát bằng inox 201, chống ngưng tụ nước, 2 hộc dùng trong nhà bếp, KT: (780*460*215)mm+/-10%, kí hiệu: 7846-AE(201)2.7mm, không hiệu. NSX: Foshan Jinyunke Kitchen &amp; Bath Co., Ltd., mới 100%</v>
      </c>
      <c r="C63" s="179" t="str">
        <f>'HỢP ĐỒNG'!D69</f>
        <v>PCE</v>
      </c>
      <c r="D63" s="180">
        <f>'HỢP ĐỒNG'!E69</f>
        <v>100</v>
      </c>
      <c r="E63" s="304"/>
      <c r="F63" s="439"/>
      <c r="G63" s="439"/>
      <c r="H63" s="440"/>
      <c r="I63" s="276"/>
      <c r="J63" s="220"/>
      <c r="K63" s="277"/>
      <c r="L63" s="278"/>
    </row>
    <row r="64" spans="1:12" s="68" customFormat="1" ht="60.75" customHeight="1">
      <c r="A64" s="173">
        <f>'HỢP ĐỒNG'!A70</f>
        <v>52</v>
      </c>
      <c r="B64" s="178" t="str">
        <f>'HỢP ĐỒNG'!C70</f>
        <v>Điều khiển cửa cuốn từ xa, loại điều khiển bằng sóng hồng ngoại, vỏ bằng nhựa tổng hợp, không chứa dữ liệu, mật mã dân sự, sử dụng pin 23A/12V, không hiệu. Nsx: Zhejiang Zhiyuan Factory. Mới 100%</v>
      </c>
      <c r="C64" s="179" t="str">
        <f>'HỢP ĐỒNG'!D70</f>
        <v>PCE</v>
      </c>
      <c r="D64" s="180">
        <f>'HỢP ĐỒNG'!E70</f>
        <v>5000</v>
      </c>
      <c r="E64" s="304"/>
      <c r="F64" s="395">
        <v>6</v>
      </c>
      <c r="G64" s="395">
        <v>122</v>
      </c>
      <c r="H64" s="364">
        <v>134</v>
      </c>
      <c r="I64" s="276"/>
      <c r="J64" s="220"/>
      <c r="K64" s="277"/>
      <c r="L64" s="278"/>
    </row>
    <row r="65" spans="1:12" s="68" customFormat="1" ht="60.75" customHeight="1">
      <c r="A65" s="173">
        <f>'HỢP ĐỒNG'!A71</f>
        <v>53</v>
      </c>
      <c r="B65" s="178" t="str">
        <f>'HỢP ĐỒNG'!C71</f>
        <v>Bộ điều khiển cửa cuốn gồm 1 hộp tín hiệu trung tâm và 2 tay khiển, loại điều khiển bằng sóng hồng ngoại, vỏ bằng nhựa tổng hợp, không chứa dữ liệu, mật mã dân sự,dùng pin 23A/12V, không hiệu.Mới 100%</v>
      </c>
      <c r="C65" s="179" t="str">
        <f>'HỢP ĐỒNG'!D71</f>
        <v>SET</v>
      </c>
      <c r="D65" s="180">
        <f>'HỢP ĐỒNG'!E71</f>
        <v>200</v>
      </c>
      <c r="E65" s="304"/>
      <c r="F65" s="439">
        <v>1</v>
      </c>
      <c r="G65" s="439">
        <v>399</v>
      </c>
      <c r="H65" s="440">
        <v>401</v>
      </c>
      <c r="I65" s="276"/>
      <c r="J65" s="220"/>
      <c r="K65" s="277"/>
      <c r="L65" s="278"/>
    </row>
    <row r="66" spans="1:12" s="68" customFormat="1" ht="60.75" customHeight="1">
      <c r="A66" s="173">
        <f>'HỢP ĐỒNG'!A72</f>
        <v>54</v>
      </c>
      <c r="B66" s="178" t="str">
        <f>'HỢP ĐỒNG'!C72</f>
        <v>Bộ điều khiển cửa cuốn gồm 1 hộp tín hiệu trung tâm và 2 tay khiển nắp trượt, loại điều khiển bằng sóng hồng ngoại, vỏ bằng nhựa tổng hợp, không chứa dữ liệu, mmds,dùng pin 23A/12V,không hiệu.Mới 100%</v>
      </c>
      <c r="C66" s="179" t="str">
        <f>'HỢP ĐỒNG'!D72</f>
        <v>SET</v>
      </c>
      <c r="D66" s="180">
        <f>'HỢP ĐỒNG'!E72</f>
        <v>500</v>
      </c>
      <c r="E66" s="304"/>
      <c r="F66" s="439"/>
      <c r="G66" s="439"/>
      <c r="H66" s="440"/>
      <c r="I66" s="276"/>
      <c r="J66" s="220"/>
      <c r="K66" s="277"/>
      <c r="L66" s="278"/>
    </row>
    <row r="67" spans="1:12" s="68" customFormat="1" ht="60.75" customHeight="1">
      <c r="A67" s="173">
        <f>'HỢP ĐỒNG'!A73</f>
        <v>55</v>
      </c>
      <c r="B67" s="178" t="str">
        <f>'HỢP ĐỒNG'!C73</f>
        <v>Công tắc hành trình dùng cho cửa cuốn để xác định điểm dừng khi đóng/mở cửa, đ/a: 250V, dòng điện 5A, đ/a:250V, KH: ME-9101 không hiệu, Nsx: Zhejiang Zhiyuan Factory, mới 100%</v>
      </c>
      <c r="C67" s="179" t="str">
        <f>'HỢP ĐỒNG'!D73</f>
        <v>PCE</v>
      </c>
      <c r="D67" s="180">
        <f>'HỢP ĐỒNG'!E73</f>
        <v>1000</v>
      </c>
      <c r="E67" s="304"/>
      <c r="F67" s="439">
        <v>25</v>
      </c>
      <c r="G67" s="439">
        <v>450</v>
      </c>
      <c r="H67" s="440">
        <v>500</v>
      </c>
      <c r="I67" s="276"/>
      <c r="J67" s="220"/>
      <c r="K67" s="277"/>
      <c r="L67" s="278"/>
    </row>
    <row r="68" spans="1:12" s="68" customFormat="1" ht="60.75" customHeight="1">
      <c r="A68" s="173">
        <f>'HỢP ĐỒNG'!A74</f>
        <v>56</v>
      </c>
      <c r="B68" s="178" t="str">
        <f>'HỢP ĐỒNG'!C74</f>
        <v>Công tắc hành trình dùng cho cửa cuốn để xác định điểm dừng khi đóng/mở cửa, đ/a: 220V, dòng điện 5A, đ/a:250V, KH: ME-8108, không hiệu, Nsx: Zhejiang Zhiyuan Factory, mới 100%</v>
      </c>
      <c r="C68" s="179" t="str">
        <f>'HỢP ĐỒNG'!D74</f>
        <v>PCE</v>
      </c>
      <c r="D68" s="180">
        <f>'HỢP ĐỒNG'!E74</f>
        <v>4000</v>
      </c>
      <c r="E68" s="304"/>
      <c r="F68" s="439"/>
      <c r="G68" s="439"/>
      <c r="H68" s="440"/>
      <c r="I68" s="276"/>
      <c r="J68" s="220"/>
      <c r="K68" s="277"/>
      <c r="L68" s="278"/>
    </row>
    <row r="69" spans="1:12" s="68" customFormat="1" ht="60.75" customHeight="1">
      <c r="A69" s="173">
        <f>'HỢP ĐỒNG'!A75</f>
        <v>57</v>
      </c>
      <c r="B69" s="178" t="str">
        <f>'HỢP ĐỒNG'!C75</f>
        <v>Bộ nguồn adapter đa năng có núm xoay điều chỉnh điện áp dùng cho thiết bị massage điện đá nóng, model: 31220, đ/a đầu ra: 3-12V, dòng điện 2A, không hiệu, NSX: Shanghai Metal &amp; Plastic. Mới 100%</v>
      </c>
      <c r="C69" s="179" t="str">
        <f>'HỢP ĐỒNG'!D75</f>
        <v>SET</v>
      </c>
      <c r="D69" s="180">
        <f>'HỢP ĐỒNG'!E75</f>
        <v>2000</v>
      </c>
      <c r="E69" s="304"/>
      <c r="F69" s="395">
        <v>2</v>
      </c>
      <c r="G69" s="395">
        <v>28</v>
      </c>
      <c r="H69" s="364">
        <v>32</v>
      </c>
      <c r="I69" s="276"/>
      <c r="J69" s="220"/>
      <c r="K69" s="277"/>
      <c r="L69" s="278"/>
    </row>
    <row r="70" spans="1:12" s="68" customFormat="1" ht="60.75" customHeight="1">
      <c r="A70" s="173">
        <f>'HỢP ĐỒNG'!A76</f>
        <v>58</v>
      </c>
      <c r="B70" s="178" t="str">
        <f>'HỢP ĐỒNG'!C76</f>
        <v>Dây thắt lưng nam nữ đục lỗ hình ngôi sao, 4 màu đen, trắng, hồng, vàng, chất liệu nhựa giả da (PU), KT: rộng 1.8cm, dài 105cm+-10%, không hiệu, Nsx: Qingdao fashion Co., Ltd, Mới 100%</v>
      </c>
      <c r="C70" s="179" t="str">
        <f>'HỢP ĐỒNG'!D76</f>
        <v>PCE</v>
      </c>
      <c r="D70" s="180">
        <f>'HỢP ĐỒNG'!E76</f>
        <v>800</v>
      </c>
      <c r="E70" s="304"/>
      <c r="F70" s="439">
        <v>3</v>
      </c>
      <c r="G70" s="439">
        <v>67</v>
      </c>
      <c r="H70" s="440">
        <v>73</v>
      </c>
      <c r="I70" s="276"/>
      <c r="J70" s="220"/>
      <c r="K70" s="277"/>
      <c r="L70" s="278"/>
    </row>
    <row r="71" spans="1:12" s="68" customFormat="1" ht="60.75" customHeight="1">
      <c r="A71" s="173">
        <f>'HỢP ĐỒNG'!A77</f>
        <v>59</v>
      </c>
      <c r="B71" s="178" t="str">
        <f>'HỢP ĐỒNG'!C77</f>
        <v>Dây thắt lưng nam nữ Y2K họa tiết ngôi sao, chất liệu nhựa gải da (PU), mặt khóa mạ màu bạc, KH:OLL403, KT: rộng 2.8cm, dài 105cm+-10%, không hiệu, Nsx: Qingdao fashion Co., Ltd, Mới 100%</v>
      </c>
      <c r="C71" s="179" t="str">
        <f>'HỢP ĐỒNG'!D77</f>
        <v>PCE</v>
      </c>
      <c r="D71" s="180">
        <f>'HỢP ĐỒNG'!E77</f>
        <v>200</v>
      </c>
      <c r="E71" s="304"/>
      <c r="F71" s="439"/>
      <c r="G71" s="439"/>
      <c r="H71" s="440"/>
      <c r="I71" s="276"/>
      <c r="J71" s="220"/>
      <c r="K71" s="277"/>
      <c r="L71" s="278"/>
    </row>
    <row r="72" spans="1:12" s="68" customFormat="1" ht="60.75" customHeight="1">
      <c r="A72" s="173">
        <f>'HỢP ĐỒNG'!A78</f>
        <v>60</v>
      </c>
      <c r="B72" s="178" t="str">
        <f>'HỢP ĐỒNG'!C78</f>
        <v>Dây thắt lưng nam nữ Y2K chất liệu nhựa giả da (PU), KT: rộng 2.8cm, dài 105cm+-10%, KH: OLL402, không hiệu, Nsx: Qingdao fashion Co., Ltd, Mới 100%</v>
      </c>
      <c r="C72" s="179" t="str">
        <f>'HỢP ĐỒNG'!D78</f>
        <v>PCE</v>
      </c>
      <c r="D72" s="180">
        <f>'HỢP ĐỒNG'!E78</f>
        <v>100</v>
      </c>
      <c r="E72" s="304"/>
      <c r="F72" s="439"/>
      <c r="G72" s="439"/>
      <c r="H72" s="440"/>
      <c r="I72" s="276"/>
      <c r="J72" s="220"/>
      <c r="K72" s="277"/>
      <c r="L72" s="278"/>
    </row>
    <row r="73" spans="1:12" s="68" customFormat="1" ht="60.75" customHeight="1">
      <c r="A73" s="173">
        <f>'HỢP ĐỒNG'!A79</f>
        <v>61</v>
      </c>
      <c r="B73" s="178" t="str">
        <f>'HỢP ĐỒNG'!C79</f>
        <v>Nắp bồn cầu chất liệu nhựa tổng hợp, KT: 445*360mm+-10%, KH: K-4713T, không hiệu,NSX: Toilet Seat Manufacturer (Xiamen), mới 100%</v>
      </c>
      <c r="C73" s="179" t="str">
        <f>'HỢP ĐỒNG'!D79</f>
        <v>PCE</v>
      </c>
      <c r="D73" s="180">
        <f>'HỢP ĐỒNG'!E79</f>
        <v>100</v>
      </c>
      <c r="E73" s="304"/>
      <c r="F73" s="395">
        <v>5</v>
      </c>
      <c r="G73" s="395">
        <v>118</v>
      </c>
      <c r="H73" s="364">
        <v>128</v>
      </c>
      <c r="I73" s="276"/>
      <c r="J73" s="220"/>
      <c r="K73" s="277"/>
      <c r="L73" s="278"/>
    </row>
    <row r="74" spans="1:12" s="68" customFormat="1" ht="60.75" customHeight="1">
      <c r="A74" s="173">
        <f>'HỢP ĐỒNG'!A80</f>
        <v>62</v>
      </c>
      <c r="B74" s="178" t="str">
        <f>'HỢP ĐỒNG'!C80</f>
        <v>Bàn chải cọ rửa vệ sinh bình sữa, chất liệu nhựa tổng hợp, KT:28*6,5cm+-10%, không hiệu, NSX: Guangdong Stationery Co., Ltd.,mới 100%</v>
      </c>
      <c r="C74" s="179" t="str">
        <f>'HỢP ĐỒNG'!D80</f>
        <v>PCE</v>
      </c>
      <c r="D74" s="180">
        <f>'HỢP ĐỒNG'!E80</f>
        <v>900</v>
      </c>
      <c r="E74" s="304"/>
      <c r="F74" s="395">
        <v>2</v>
      </c>
      <c r="G74" s="395">
        <v>25</v>
      </c>
      <c r="H74" s="364">
        <v>29</v>
      </c>
      <c r="I74" s="276"/>
      <c r="J74" s="220"/>
      <c r="K74" s="277"/>
      <c r="L74" s="278"/>
    </row>
    <row r="75" spans="1:12" s="68" customFormat="1" ht="60.75" customHeight="1">
      <c r="A75" s="173">
        <f>'HỢP ĐỒNG'!A81</f>
        <v>63</v>
      </c>
      <c r="B75" s="178" t="str">
        <f>'HỢP ĐỒNG'!C81</f>
        <v>Bộ khóa cửa dùng cho cửa cuốn gồm thân khóa, 3 chìa dẹt và phụ kiện lắp đặt, chất liệu sắt kết hợp nhựa, KT:4*20cm+-10%, không hiệu, Nsx: Zhejiang Zhiyuan Factory, mới 100%</v>
      </c>
      <c r="C75" s="179" t="str">
        <f>'HỢP ĐỒNG'!D81</f>
        <v>SET</v>
      </c>
      <c r="D75" s="180">
        <f>'HỢP ĐỒNG'!E81</f>
        <v>1000</v>
      </c>
      <c r="E75" s="304"/>
      <c r="F75" s="439">
        <v>1</v>
      </c>
      <c r="G75" s="439">
        <v>744</v>
      </c>
      <c r="H75" s="440">
        <v>746</v>
      </c>
      <c r="I75" s="276"/>
      <c r="J75" s="220"/>
      <c r="K75" s="277"/>
      <c r="L75" s="278"/>
    </row>
    <row r="76" spans="1:12" s="68" customFormat="1" ht="60.75" customHeight="1">
      <c r="A76" s="173">
        <f>'HỢP ĐỒNG'!A82</f>
        <v>64</v>
      </c>
      <c r="B76" s="178" t="str">
        <f>'HỢP ĐỒNG'!C82</f>
        <v>Bộ khóa cửa dùng cho cửa cuốn gồm thân khóa, 4 chìa chữ thập và phụ kiện lắp đặt, chất liệu sắt kết hợp nhựa, KT:4*20cm+-10%, không hiệu, Nsx: Zhejiang Zhiyuan Factory, mới 100%</v>
      </c>
      <c r="C76" s="179" t="str">
        <f>'HỢP ĐỒNG'!D82</f>
        <v>SET</v>
      </c>
      <c r="D76" s="180">
        <f>'HỢP ĐỒNG'!E82</f>
        <v>1000</v>
      </c>
      <c r="E76" s="304"/>
      <c r="F76" s="439"/>
      <c r="G76" s="439"/>
      <c r="H76" s="440"/>
      <c r="I76" s="276"/>
      <c r="J76" s="220"/>
      <c r="K76" s="277"/>
      <c r="L76" s="278"/>
    </row>
    <row r="77" spans="1:12" s="68" customFormat="1" ht="60.75" customHeight="1">
      <c r="A77" s="173">
        <f>'HỢP ĐỒNG'!A83</f>
        <v>65</v>
      </c>
      <c r="B77" s="178" t="str">
        <f>'HỢP ĐỒNG'!C83</f>
        <v>Dải nhựa dạng cuộn dùng để bọc cạnh bàn chống va đập, bằng nhựa PVC xốp 1 mặt tự dính, KT: dài 200x3cm +/-10%.không hiệu.Nsx: Taizhou Plastic Mould. mới 100%</v>
      </c>
      <c r="C77" s="179" t="str">
        <f>'HỢP ĐỒNG'!D83</f>
        <v>ROL</v>
      </c>
      <c r="D77" s="180">
        <f>'HỢP ĐỒNG'!E83</f>
        <v>560</v>
      </c>
      <c r="E77" s="304"/>
      <c r="F77" s="439">
        <v>39</v>
      </c>
      <c r="G77" s="439">
        <v>285</v>
      </c>
      <c r="H77" s="440">
        <v>363</v>
      </c>
      <c r="I77" s="276"/>
      <c r="J77" s="220"/>
      <c r="K77" s="277"/>
      <c r="L77" s="278"/>
    </row>
    <row r="78" spans="1:12" s="68" customFormat="1" ht="60.75" customHeight="1">
      <c r="A78" s="173">
        <f>'HỢP ĐỒNG'!A84</f>
        <v>66</v>
      </c>
      <c r="B78" s="178" t="str">
        <f>'HỢP ĐỒNG'!C84</f>
        <v>Dải nhựa dạng cuộn dùng để bọc cạnh bàn chống va đập, bằng nhựa PVC xốp 1 mặt tự dính, KT: dài 200x8cm +/-10%.không hiệu.Nsx: Taizhou Plastic Mould. mới 100%</v>
      </c>
      <c r="C78" s="179" t="str">
        <f>'HỢP ĐỒNG'!D84</f>
        <v>ROL</v>
      </c>
      <c r="D78" s="180">
        <f>'HỢP ĐỒNG'!E84</f>
        <v>1500</v>
      </c>
      <c r="E78" s="304"/>
      <c r="F78" s="439"/>
      <c r="G78" s="439"/>
      <c r="H78" s="440"/>
      <c r="I78" s="276"/>
      <c r="J78" s="220"/>
      <c r="K78" s="277"/>
      <c r="L78" s="278"/>
    </row>
    <row r="79" spans="1:12" s="68" customFormat="1" ht="60.75" customHeight="1">
      <c r="A79" s="173">
        <f>'HỢP ĐỒNG'!A85</f>
        <v>67</v>
      </c>
      <c r="B79" s="178" t="str">
        <f>'HỢP ĐỒNG'!C85</f>
        <v>Dải nhựa dạng cuộn dùng để bọc cạnh bàn chống va đập, bằng nhựa PVC xốp 1 mặt tự dính, KT: dài 200x5cm +/-10%.không hiệu.Nsx: Taizhou Plastic Mould. mới 100%</v>
      </c>
      <c r="C79" s="179" t="str">
        <f>'HỢP ĐỒNG'!D85</f>
        <v>ROL</v>
      </c>
      <c r="D79" s="180">
        <f>'HỢP ĐỒNG'!E85</f>
        <v>480</v>
      </c>
      <c r="E79" s="304"/>
      <c r="F79" s="439"/>
      <c r="G79" s="439"/>
      <c r="H79" s="440"/>
      <c r="I79" s="276"/>
      <c r="J79" s="220"/>
      <c r="K79" s="277"/>
      <c r="L79" s="278"/>
    </row>
    <row r="80" spans="1:12" s="68" customFormat="1" ht="60.75" customHeight="1">
      <c r="A80" s="173">
        <f>'HỢP ĐỒNG'!A86</f>
        <v>68</v>
      </c>
      <c r="B80" s="178" t="str">
        <f>'HỢP ĐỒNG'!C86</f>
        <v>Miếng nhựa bọc góc bàn chữ L chống va đập, bằng nhựa PVC xốp, 1 mặt tự dính, 5 cái/ túi, KT: dài 3.5x6cm +/-10%.không hiệu.Nsx: Taizhou Plastic Mould. mới 100%</v>
      </c>
      <c r="C80" s="179" t="str">
        <f>'HỢP ĐỒNG'!D86</f>
        <v>PCE</v>
      </c>
      <c r="D80" s="180">
        <f>'HỢP ĐỒNG'!E86</f>
        <v>800</v>
      </c>
      <c r="E80" s="304"/>
      <c r="F80" s="439"/>
      <c r="G80" s="439"/>
      <c r="H80" s="440"/>
      <c r="I80" s="276"/>
      <c r="J80" s="220"/>
      <c r="K80" s="277"/>
      <c r="L80" s="278"/>
    </row>
    <row r="81" spans="1:12" s="68" customFormat="1" ht="60.75" customHeight="1">
      <c r="A81" s="173">
        <f>'HỢP ĐỒNG'!A87</f>
        <v>69</v>
      </c>
      <c r="B81" s="178" t="str">
        <f>'HỢP ĐỒNG'!C87</f>
        <v>Bộ lọc dầu dùng cho máy nén khí trục vít QX105047. KT: 114x40x230mm+-10%, lưu lượng:120-180l/p, đk ren:38mm, không hiệu. NSX: Jiangxi Sange Filter. Mới 100%</v>
      </c>
      <c r="C81" s="179" t="str">
        <f>'HỢP ĐỒNG'!D87</f>
        <v>PCE</v>
      </c>
      <c r="D81" s="180">
        <f>'HỢP ĐỒNG'!E87</f>
        <v>18</v>
      </c>
      <c r="E81" s="304"/>
      <c r="F81" s="439">
        <v>2</v>
      </c>
      <c r="G81" s="439">
        <v>38</v>
      </c>
      <c r="H81" s="440">
        <v>42</v>
      </c>
      <c r="I81" s="276"/>
      <c r="J81" s="220"/>
      <c r="K81" s="277"/>
      <c r="L81" s="278"/>
    </row>
    <row r="82" spans="1:12" s="68" customFormat="1" ht="60.75" customHeight="1">
      <c r="A82" s="173">
        <f>'HỢP ĐỒNG'!A88</f>
        <v>70</v>
      </c>
      <c r="B82" s="178" t="str">
        <f>'HỢP ĐỒNG'!C88</f>
        <v>Bộ lọc dầu dùng cho máy nén khí trục vít 04425274. KT: 1135*308*100mm+-10%, lưu lượng:120-180l/p, đk ren 38mm, không hiệu. Nsx: Ingersoll Rand. Mới 100%</v>
      </c>
      <c r="C82" s="179" t="str">
        <f>'HỢP ĐỒNG'!D88</f>
        <v>PCE</v>
      </c>
      <c r="D82" s="180">
        <f>'HỢP ĐỒNG'!E88</f>
        <v>10</v>
      </c>
      <c r="E82" s="304"/>
      <c r="F82" s="439"/>
      <c r="G82" s="439"/>
      <c r="H82" s="440"/>
      <c r="I82" s="276"/>
      <c r="J82" s="220"/>
      <c r="K82" s="277"/>
      <c r="L82" s="278"/>
    </row>
    <row r="83" spans="1:12" s="68" customFormat="1" ht="60.75" customHeight="1">
      <c r="A83" s="173">
        <f>'HỢP ĐỒNG'!A89</f>
        <v>71</v>
      </c>
      <c r="B83" s="178" t="str">
        <f>'HỢP ĐỒNG'!C89</f>
        <v>Bộ điều khiển cửa cuốn gồm 1 hộp tín hiệu trung tâm và 3 tay khiển, loại điều khiển bằng sóng hồng ngoại, vỏ bằng nhựa tổng hợp, không chứa dữ liệu, MMDS, sử dụng pin 23A/12V, hiệu: Macdoor. Mới 100%</v>
      </c>
      <c r="C83" s="179" t="str">
        <f>'HỢP ĐỒNG'!D89</f>
        <v>SET</v>
      </c>
      <c r="D83" s="180">
        <f>'HỢP ĐỒNG'!E89</f>
        <v>500</v>
      </c>
      <c r="E83" s="304"/>
      <c r="F83" s="439">
        <v>60</v>
      </c>
      <c r="G83" s="439">
        <v>536</v>
      </c>
      <c r="H83" s="440">
        <v>656</v>
      </c>
      <c r="I83" s="276"/>
      <c r="J83" s="220"/>
      <c r="K83" s="277"/>
      <c r="L83" s="278"/>
    </row>
    <row r="84" spans="1:12" s="68" customFormat="1" ht="60.75" customHeight="1">
      <c r="A84" s="173">
        <f>'HỢP ĐỒNG'!A90</f>
        <v>72</v>
      </c>
      <c r="B84" s="178" t="str">
        <f>'HỢP ĐỒNG'!C90</f>
        <v>Bộ điều khiển cửa cuốn gồm 1 hộp tín hiệu trung tâm và 2 tay khiển, loại điều khiển bằng sóng hồng ngoại, không chứa dữ liệu, MMDS, sử dụng pin 23A/12V, hiệu: Safety controller. Mới 100%</v>
      </c>
      <c r="C84" s="179" t="str">
        <f>'HỢP ĐỒNG'!D90</f>
        <v>SET</v>
      </c>
      <c r="D84" s="180">
        <f>'HỢP ĐỒNG'!E90</f>
        <v>700</v>
      </c>
      <c r="E84" s="304"/>
      <c r="F84" s="439"/>
      <c r="G84" s="439"/>
      <c r="H84" s="440"/>
      <c r="I84" s="276"/>
      <c r="J84" s="220"/>
      <c r="K84" s="277"/>
      <c r="L84" s="278"/>
    </row>
    <row r="85" spans="1:12" s="68" customFormat="1" ht="60.75" customHeight="1">
      <c r="A85" s="173">
        <f>'HỢP ĐỒNG'!A91</f>
        <v>73</v>
      </c>
      <c r="B85" s="178" t="str">
        <f>'HỢP ĐỒNG'!C91</f>
        <v>Bàn chải cọ rửa vệ sinh đa năng loại không dùng điện, tay cầm bằng nhựa mặt cọ bằng miếng bọt biển mút xốp. KT: dài 30*8*5cm +/-10, không hiệu, Nsx: Picc property and casualty Co.,ltd, mới 100%</v>
      </c>
      <c r="C85" s="179" t="str">
        <f>'HỢP ĐỒNG'!D91</f>
        <v>PCE</v>
      </c>
      <c r="D85" s="180">
        <f>'HỢP ĐỒNG'!E91</f>
        <v>980</v>
      </c>
      <c r="E85" s="304"/>
      <c r="F85" s="395">
        <v>7</v>
      </c>
      <c r="G85" s="395">
        <v>53</v>
      </c>
      <c r="H85" s="364">
        <v>67</v>
      </c>
      <c r="I85" s="276"/>
      <c r="J85" s="220"/>
      <c r="K85" s="277"/>
      <c r="L85" s="278"/>
    </row>
    <row r="86" spans="1:12" s="68" customFormat="1" ht="60.75" customHeight="1">
      <c r="A86" s="173">
        <f>'HỢP ĐỒNG'!A92</f>
        <v>74</v>
      </c>
      <c r="B86" s="178" t="str">
        <f>'HỢP ĐỒNG'!C92</f>
        <v>Động cơ vạn năng dây đồng xoay chiều/1 chiều, dùng cho máy xay thực phẩm, Đ/a: 220V/24V, cs: 600w, Không hiệu. Nsx: Wenzhou Feiding Motor. Mới 100%</v>
      </c>
      <c r="C86" s="179" t="str">
        <f>'HỢP ĐỒNG'!D92</f>
        <v>PCE</v>
      </c>
      <c r="D86" s="180">
        <f>'HỢP ĐỒNG'!E92</f>
        <v>128</v>
      </c>
      <c r="E86" s="304"/>
      <c r="F86" s="395">
        <v>4</v>
      </c>
      <c r="G86" s="395">
        <v>62</v>
      </c>
      <c r="H86" s="364">
        <v>70</v>
      </c>
      <c r="I86" s="276"/>
      <c r="J86" s="220"/>
      <c r="K86" s="277"/>
      <c r="L86" s="278"/>
    </row>
    <row r="87" spans="1:12" s="68" customFormat="1" ht="60.75" customHeight="1">
      <c r="A87" s="173">
        <f>'HỢP ĐỒNG'!A93</f>
        <v>75</v>
      </c>
      <c r="B87" s="178" t="str">
        <f>'HỢP ĐỒNG'!C93</f>
        <v>Động cơ vạn năng 7712 dây đồng xoay chiều/1 chiều dùng để chế tạo các loại máy công cụ mini cầm tay, đ/a: 220v/12V. cs: 200w, Không hiệu. Nsx: Wenzhou Feiding Motor. Mới 100%</v>
      </c>
      <c r="C87" s="179" t="str">
        <f>'HỢP ĐỒNG'!D93</f>
        <v>PCE</v>
      </c>
      <c r="D87" s="180">
        <f>'HỢP ĐỒNG'!E93</f>
        <v>1000</v>
      </c>
      <c r="E87" s="304"/>
      <c r="F87" s="395">
        <v>7</v>
      </c>
      <c r="G87" s="395">
        <v>263</v>
      </c>
      <c r="H87" s="364">
        <v>277</v>
      </c>
      <c r="I87" s="276"/>
      <c r="J87" s="220"/>
      <c r="K87" s="277"/>
      <c r="L87" s="278"/>
    </row>
    <row r="88" spans="1:12" s="68" customFormat="1" ht="60.75" customHeight="1">
      <c r="A88" s="173">
        <f>'HỢP ĐỒNG'!A94</f>
        <v>76</v>
      </c>
      <c r="B88" s="178" t="str">
        <f>'HỢP ĐỒNG'!C94</f>
        <v>Khay nhựa tổng hợp vân kim cương, dùng để đựng đồ trang điểm, trang sức (không chứa đựng thực phẩm), KT: (24*15-18*18)cm+/-10%, không hiệu, Nsx: Dongguan Huashuo Industrial Co., Ltd., mới 100%</v>
      </c>
      <c r="C88" s="179" t="str">
        <f>'HỢP ĐỒNG'!D94</f>
        <v>PCE</v>
      </c>
      <c r="D88" s="180">
        <f>'HỢP ĐỒNG'!E94</f>
        <v>200</v>
      </c>
      <c r="E88" s="304"/>
      <c r="F88" s="395">
        <v>34</v>
      </c>
      <c r="G88" s="395">
        <v>333</v>
      </c>
      <c r="H88" s="364">
        <v>401</v>
      </c>
      <c r="I88" s="276"/>
      <c r="J88" s="220"/>
      <c r="K88" s="277"/>
      <c r="L88" s="278"/>
    </row>
    <row r="89" spans="1:12" s="68" customFormat="1" ht="60.75" customHeight="1">
      <c r="A89" s="173">
        <f>'HỢP ĐỒNG'!A95</f>
        <v>77</v>
      </c>
      <c r="B89" s="178" t="str">
        <f>'HỢP ĐỒNG'!C95</f>
        <v>Giày thể thao beier viền xanh, viền xám, đế giày bằng cao su mềm, thân và mũi giày bằng da tổng hợp phối vải lưới, màu trắng size 36-40, hiệu Beier, mới 100%</v>
      </c>
      <c r="C89" s="179" t="str">
        <f>'HỢP ĐỒNG'!D95</f>
        <v>PR</v>
      </c>
      <c r="D89" s="180">
        <f>'HỢP ĐỒNG'!E95</f>
        <v>130</v>
      </c>
      <c r="E89" s="304"/>
      <c r="F89" s="439">
        <v>13</v>
      </c>
      <c r="G89" s="439">
        <v>264</v>
      </c>
      <c r="H89" s="440">
        <v>290</v>
      </c>
      <c r="I89" s="276"/>
      <c r="J89" s="220"/>
      <c r="K89" s="277"/>
      <c r="L89" s="278"/>
    </row>
    <row r="90" spans="1:12" s="68" customFormat="1" ht="49.5" customHeight="1">
      <c r="A90" s="173">
        <f>'HỢP ĐỒNG'!A96</f>
        <v>78</v>
      </c>
      <c r="B90" s="178" t="str">
        <f>'HỢP ĐỒNG'!C96</f>
        <v>Giày sneaker beier kitty, đế giày bằng cao su mềm, thân và mũi giày bằng da tổng hợp phối vải lưới, 2 màu hồng , be, size 36-40, hiệu Beier, mới 100%</v>
      </c>
      <c r="C90" s="179" t="str">
        <f>'HỢP ĐỒNG'!D96</f>
        <v>PR</v>
      </c>
      <c r="D90" s="180">
        <f>'HỢP ĐỒNG'!E96</f>
        <v>75</v>
      </c>
      <c r="E90" s="304"/>
      <c r="F90" s="439"/>
      <c r="G90" s="439"/>
      <c r="H90" s="440"/>
      <c r="I90" s="276"/>
      <c r="J90" s="220"/>
      <c r="K90" s="277"/>
      <c r="L90" s="278"/>
    </row>
    <row r="91" spans="1:12" s="68" customFormat="1" ht="52.5" customHeight="1">
      <c r="A91" s="173">
        <f>'HỢP ĐỒNG'!A97</f>
        <v>79</v>
      </c>
      <c r="B91" s="178" t="str">
        <f>'HỢP ĐỒNG'!C97</f>
        <v>Giày búp bê nữ beier, đế giày bằng cao su mềm, thân và mũi giày bằng da tổng hợp phối vải lưới, 2 màu be, trắng size 36-40, hiệu Beier, mới 100%</v>
      </c>
      <c r="C91" s="179" t="str">
        <f>'HỢP ĐỒNG'!D97</f>
        <v>PR</v>
      </c>
      <c r="D91" s="180">
        <f>'HỢP ĐỒNG'!E97</f>
        <v>180</v>
      </c>
      <c r="E91" s="304"/>
      <c r="F91" s="439"/>
      <c r="G91" s="439"/>
      <c r="H91" s="440"/>
      <c r="I91" s="276"/>
      <c r="J91" s="220"/>
      <c r="K91" s="277"/>
      <c r="L91" s="278"/>
    </row>
    <row r="92" spans="1:12" s="68" customFormat="1" ht="51.75" customHeight="1">
      <c r="A92" s="173">
        <f>'HỢP ĐỒNG'!A98</f>
        <v>80</v>
      </c>
      <c r="B92" s="178" t="str">
        <f>'HỢP ĐỒNG'!C98</f>
        <v>Đồng hồ đo nhiệt độ và độ ẩm cơ học (Th600B) đo không khí trong phòng, không dùng điện, chất liệu inox. KT: (20.5*16)cm+/-10%, hiệu: ANYMETRE, mới 100%</v>
      </c>
      <c r="C92" s="179" t="str">
        <f>'HỢP ĐỒNG'!D98</f>
        <v>PCE</v>
      </c>
      <c r="D92" s="180">
        <f>'HỢP ĐỒNG'!E98</f>
        <v>400</v>
      </c>
      <c r="E92" s="304"/>
      <c r="F92" s="395">
        <v>10</v>
      </c>
      <c r="G92" s="395">
        <v>84</v>
      </c>
      <c r="H92" s="364">
        <v>104</v>
      </c>
      <c r="I92" s="276"/>
      <c r="J92" s="220"/>
      <c r="K92" s="277"/>
      <c r="L92" s="278"/>
    </row>
    <row r="93" spans="1:12" s="68" customFormat="1" ht="66.75" customHeight="1">
      <c r="A93" s="173">
        <f>'HỢP ĐỒNG'!A99</f>
        <v>81</v>
      </c>
      <c r="B93" s="178" t="str">
        <f>'HỢP ĐỒNG'!C99</f>
        <v>Đế nhựa dùng để cắm hoa bằng nhựa ABS, KT: 6.8*4.4cm, không hiệu, NSX: Ningbo Bonais Stationery Co., Ltd., mới 100%</v>
      </c>
      <c r="C93" s="179" t="str">
        <f>'HỢP ĐỒNG'!D99</f>
        <v>PCE</v>
      </c>
      <c r="D93" s="180">
        <f>'HỢP ĐỒNG'!E99</f>
        <v>1600</v>
      </c>
      <c r="E93" s="304"/>
      <c r="F93" s="395">
        <v>3</v>
      </c>
      <c r="G93" s="395">
        <v>32</v>
      </c>
      <c r="H93" s="364">
        <v>38</v>
      </c>
      <c r="I93" s="276"/>
      <c r="J93" s="220"/>
      <c r="K93" s="277"/>
      <c r="L93" s="278"/>
    </row>
    <row r="94" spans="1:12" s="68" customFormat="1" ht="53.25" customHeight="1">
      <c r="A94" s="173">
        <f>'HỢP ĐỒNG'!A100</f>
        <v>82</v>
      </c>
      <c r="B94" s="178" t="str">
        <f>'HỢP ĐỒNG'!C100</f>
        <v>Tấm lưới chắn thùng xe container bằng sợi vải dù polyester, KT:2.4m*2.6m+-10%, không hiệu, NSX: Shandong Zhongxian Rope &amp; Net Co., Ltd, mới 100%</v>
      </c>
      <c r="C94" s="179" t="str">
        <f>'HỢP ĐỒNG'!D100</f>
        <v>PCE</v>
      </c>
      <c r="D94" s="180">
        <f>'HỢP ĐỒNG'!E100</f>
        <v>2768</v>
      </c>
      <c r="E94" s="304"/>
      <c r="F94" s="395">
        <v>40</v>
      </c>
      <c r="G94" s="395">
        <v>1050</v>
      </c>
      <c r="H94" s="364">
        <v>1130</v>
      </c>
      <c r="I94" s="276"/>
      <c r="J94" s="220"/>
      <c r="K94" s="277"/>
      <c r="L94" s="278"/>
    </row>
    <row r="95" spans="1:12" s="68" customFormat="1" ht="60.75" customHeight="1">
      <c r="A95" s="173">
        <f>'HỢP ĐỒNG'!A101</f>
        <v>83</v>
      </c>
      <c r="B95" s="178" t="str">
        <f>'HỢP ĐỒNG'!C101</f>
        <v>Đèn vòm bán nguyệt chuyên dụng lắp trên bàn làm nail, spa, sử dụng nguồn sáng đi-ốt phát quang LED không phải quang điện, model:2415. CS:36W/AC100-240V. Không hiệu. NSX:Zhongshan Ledlighning. Mới 100%</v>
      </c>
      <c r="C95" s="179" t="str">
        <f>'HỢP ĐỒNG'!D101</f>
        <v>PCE</v>
      </c>
      <c r="D95" s="180">
        <f>'HỢP ĐỒNG'!E101</f>
        <v>600</v>
      </c>
      <c r="E95" s="304"/>
      <c r="F95" s="395">
        <v>152</v>
      </c>
      <c r="G95" s="395">
        <v>1966</v>
      </c>
      <c r="H95" s="364">
        <v>2270</v>
      </c>
      <c r="I95" s="276"/>
      <c r="J95" s="220"/>
      <c r="K95" s="277"/>
      <c r="L95" s="278"/>
    </row>
    <row r="96" spans="1:12" s="68" customFormat="1" ht="60.75" customHeight="1">
      <c r="A96" s="173">
        <f>'HỢP ĐỒNG'!A102</f>
        <v>84</v>
      </c>
      <c r="B96" s="178" t="str">
        <f>'HỢP ĐỒNG'!C102</f>
        <v>Dây cáp truyền dẫn tín hiệu âm thanh cho tivi đã gắn đầu nối dài 1.8m, không phải cáp điện, không dùng cho viễn thông, lõi nhôm, cách điện bằng nhựa, dòng 48V, ĐK lõi 1mm.Không hiệu.Mới 100%</v>
      </c>
      <c r="C96" s="179" t="str">
        <f>'HỢP ĐỒNG'!D102</f>
        <v>PCE</v>
      </c>
      <c r="D96" s="180">
        <f>'HỢP ĐỒNG'!E102</f>
        <v>2830</v>
      </c>
      <c r="E96" s="304"/>
      <c r="F96" s="439">
        <v>31</v>
      </c>
      <c r="G96" s="439">
        <v>804</v>
      </c>
      <c r="H96" s="440">
        <v>866</v>
      </c>
      <c r="I96" s="276"/>
      <c r="J96" s="220"/>
      <c r="K96" s="277"/>
      <c r="L96" s="278"/>
    </row>
    <row r="97" spans="1:19" s="68" customFormat="1" ht="60.75" customHeight="1">
      <c r="A97" s="173">
        <f>'HỢP ĐỒNG'!A103</f>
        <v>85</v>
      </c>
      <c r="B97" s="178" t="str">
        <f>'HỢP ĐỒNG'!C103</f>
        <v>Dây cáp truyền dẫn tín hiệu âm thanh cho loa và micro, không phải cáp điện, không dùng cho viễn thông, lõi đồng kép, cách điện bằng nhựa, Đk lõi 1mm, 100m/cuộn. Đ/a: 48V.Hiệu Huicheng, mới 100%</v>
      </c>
      <c r="C97" s="179" t="str">
        <f>'HỢP ĐỒNG'!D103</f>
        <v>ROL</v>
      </c>
      <c r="D97" s="180">
        <f>'HỢP ĐỒNG'!E103</f>
        <v>52</v>
      </c>
      <c r="E97" s="304"/>
      <c r="F97" s="439"/>
      <c r="G97" s="439"/>
      <c r="H97" s="440"/>
      <c r="I97" s="276"/>
      <c r="J97" s="220"/>
      <c r="K97" s="277"/>
      <c r="L97" s="278"/>
    </row>
    <row r="98" spans="1:19" s="68" customFormat="1" ht="60.75" customHeight="1">
      <c r="A98" s="173">
        <f>'HỢP ĐỒNG'!A104</f>
        <v>86</v>
      </c>
      <c r="B98" s="178" t="str">
        <f>'HỢP ĐỒNG'!C104</f>
        <v>Điều khiển tivi từ xa,loại điều khiển bằng sóng hồng ngoại, vỏ bằng nhựa tổng hợp, KT:56*50*34mm, dùng pin 1.5V. Không hiệu. Nsx: Zhiyuan Desheng Co.,Ltd. Mới 100%</v>
      </c>
      <c r="C98" s="179" t="str">
        <f>'HỢP ĐỒNG'!D104</f>
        <v>PCE</v>
      </c>
      <c r="D98" s="180">
        <f>'HỢP ĐỒNG'!E104</f>
        <v>350</v>
      </c>
      <c r="E98" s="304" t="str">
        <f t="shared" ref="E98:E128" si="0">IF(C98="Kg",IF(I98&lt;D98,I98&amp;" "&amp;C98&amp;" "&amp;"/ Kiện",I98&amp;" "&amp;C98&amp;" "&amp;"/ "&amp;F98&amp;" Kiện"),IF(AND(D98=I98),I98&amp;" "&amp;C98&amp;" "&amp;"/ "&amp;F98&amp;" Kiện",I98&amp;" "&amp;C98&amp;" "&amp;"/ Kiện"))</f>
        <v xml:space="preserve"> PCE / Kiện</v>
      </c>
      <c r="F98" s="439"/>
      <c r="G98" s="439"/>
      <c r="H98" s="440"/>
      <c r="I98" s="276"/>
      <c r="J98" s="220"/>
      <c r="K98" s="277"/>
      <c r="L98" s="278"/>
      <c r="S98" s="220"/>
    </row>
    <row r="99" spans="1:19" s="68" customFormat="1" ht="60.75" customHeight="1">
      <c r="A99" s="173">
        <f>'HỢP ĐỒNG'!A105</f>
        <v>87</v>
      </c>
      <c r="B99" s="178" t="str">
        <f>'HỢP ĐỒNG'!C105</f>
        <v>Điều khiển tivi từ xa dùng pin AAA, loại điều khiển bằng sóng hồng ngoại, vỏ bằng nhựa tổng hợp. KT: 15-25*4.5*2cm+/-10%. Không hiệu. Nsx: Zhejiang Zhiyuan Factory. Mới 100%</v>
      </c>
      <c r="C99" s="179" t="str">
        <f>'HỢP ĐỒNG'!D105</f>
        <v>PCE</v>
      </c>
      <c r="D99" s="180">
        <f>'HỢP ĐỒNG'!E105</f>
        <v>150</v>
      </c>
      <c r="E99" s="304" t="str">
        <f t="shared" si="0"/>
        <v xml:space="preserve"> PCE / Kiện</v>
      </c>
      <c r="F99" s="439"/>
      <c r="G99" s="439"/>
      <c r="H99" s="440"/>
      <c r="I99" s="276"/>
      <c r="J99" s="220"/>
      <c r="K99" s="277"/>
      <c r="L99" s="278"/>
    </row>
    <row r="100" spans="1:19" s="68" customFormat="1" ht="60.75" customHeight="1">
      <c r="A100" s="173">
        <f>'HỢP ĐỒNG'!A106</f>
        <v>88</v>
      </c>
      <c r="B100" s="178" t="str">
        <f>'HỢP ĐỒNG'!C106</f>
        <v>Bộ chuyển đổi âm thanh từ loa sang TV(bộ mã hóa),không kết hợp với bộ thu,vỏ bằng nhôm.Đ/a:12V,kí hiệu AQ5601 dòng điện 1A.Hiệu CHOSEAL.Mới 100%</v>
      </c>
      <c r="C100" s="179" t="str">
        <f>'HỢP ĐỒNG'!D106</f>
        <v>PCE</v>
      </c>
      <c r="D100" s="180">
        <f>'HỢP ĐỒNG'!E106</f>
        <v>250</v>
      </c>
      <c r="E100" s="304" t="str">
        <f t="shared" si="0"/>
        <v xml:space="preserve"> PCE / Kiện</v>
      </c>
      <c r="F100" s="439"/>
      <c r="G100" s="439"/>
      <c r="H100" s="440"/>
      <c r="I100" s="276"/>
      <c r="J100" s="220"/>
      <c r="K100" s="277"/>
      <c r="L100" s="278"/>
    </row>
    <row r="101" spans="1:19" s="68" customFormat="1" ht="60.75" customHeight="1">
      <c r="A101" s="173">
        <f>'HỢP ĐỒNG'!A107</f>
        <v>89</v>
      </c>
      <c r="B101" s="178" t="str">
        <f>'HỢP ĐỒNG'!C107</f>
        <v>Đầu nối (Giắc cắm) kết nối thiết bị âm thanh với micro, chất liệu bằng nhựa lõi đồng, KT: 8*3*33mm+-10%, dòng điện 1A, Không hiệu. NSX: Zhongshan Led lighning. Mới 100%.</v>
      </c>
      <c r="C101" s="179" t="str">
        <f>'HỢP ĐỒNG'!D107</f>
        <v>PCE</v>
      </c>
      <c r="D101" s="180">
        <f>'HỢP ĐỒNG'!E107</f>
        <v>500</v>
      </c>
      <c r="E101" s="304" t="str">
        <f t="shared" si="0"/>
        <v xml:space="preserve"> PCE / Kiện</v>
      </c>
      <c r="F101" s="439"/>
      <c r="G101" s="439"/>
      <c r="H101" s="440"/>
      <c r="I101" s="276"/>
      <c r="J101" s="220"/>
      <c r="K101" s="277"/>
      <c r="L101" s="278"/>
    </row>
    <row r="102" spans="1:19" s="68" customFormat="1" ht="60.75" customHeight="1">
      <c r="A102" s="173">
        <f>'HỢP ĐỒNG'!A108</f>
        <v>90</v>
      </c>
      <c r="B102" s="178" t="str">
        <f>'HỢP ĐỒNG'!C108</f>
        <v>Đệm ghế massage toàn thân, model: LX-075E, Cs: 12V/36W, hoạt động bằng điện, chất liệu chính mút xốp bọc vải giả da, KT: 105*61.5*41.5cm+-10%, không hiệu. NSX: Shenzhen Dongjilian Electronics,mới 100%</v>
      </c>
      <c r="C102" s="179" t="str">
        <f>'HỢP ĐỒNG'!D108</f>
        <v>PCE</v>
      </c>
      <c r="D102" s="180">
        <f>'HỢP ĐỒNG'!E108</f>
        <v>100</v>
      </c>
      <c r="E102" s="304" t="str">
        <f t="shared" si="0"/>
        <v xml:space="preserve"> PCE / Kiện</v>
      </c>
      <c r="F102" s="395">
        <v>25</v>
      </c>
      <c r="G102" s="395">
        <v>488</v>
      </c>
      <c r="H102" s="364">
        <v>538</v>
      </c>
      <c r="I102" s="276"/>
      <c r="J102" s="220"/>
      <c r="K102" s="277"/>
      <c r="L102" s="278"/>
    </row>
    <row r="103" spans="1:19" s="68" customFormat="1" ht="60.75" customHeight="1">
      <c r="A103" s="173">
        <f>'HỢP ĐỒNG'!A109</f>
        <v>91</v>
      </c>
      <c r="B103" s="178" t="str">
        <f>'HỢP ĐỒNG'!C109</f>
        <v>Động cơ giảm tốc 1 chiều (không phải động cơ bước) dùng tạo chuyển động cho lò quay vịt. Điện áp: 6-24V/150W. Model: ZYT61 6-24VDC. Tốc độ 15-60 vòng/phút, không hiệu. NSX: PINGYANG JINGE. mới 100%</v>
      </c>
      <c r="C103" s="179" t="str">
        <f>'HỢP ĐỒNG'!D109</f>
        <v>PCE</v>
      </c>
      <c r="D103" s="180">
        <f>'HỢP ĐỒNG'!E109</f>
        <v>370</v>
      </c>
      <c r="E103" s="304" t="str">
        <f t="shared" si="0"/>
        <v xml:space="preserve"> PCE / Kiện</v>
      </c>
      <c r="F103" s="395">
        <v>5</v>
      </c>
      <c r="G103" s="395">
        <v>437</v>
      </c>
      <c r="H103" s="364">
        <v>447</v>
      </c>
      <c r="I103" s="276"/>
      <c r="J103" s="220"/>
      <c r="K103" s="277"/>
      <c r="L103" s="278"/>
    </row>
    <row r="104" spans="1:19" s="68" customFormat="1" ht="60.75" customHeight="1">
      <c r="A104" s="173">
        <f>'HỢP ĐỒNG'!A110</f>
        <v>92</v>
      </c>
      <c r="B104" s="178" t="str">
        <f>'HỢP ĐỒNG'!C110</f>
        <v>Động cơ giảm tốc 1 chiều (không phải động cơ bước) dùng tạo chuyển động cho lò quay vịt. Điện áp: 6-24V/150W. Model: ZYT61 6-24VDC. Tốc độ 15-60 vòng/phút, không hiệu. NSX: PINGYANG JINGE. mới 100%</v>
      </c>
      <c r="C104" s="179" t="str">
        <f>'HỢP ĐỒNG'!D110</f>
        <v>PCE</v>
      </c>
      <c r="D104" s="180">
        <f>'HỢP ĐỒNG'!E110</f>
        <v>800</v>
      </c>
      <c r="E104" s="304" t="str">
        <f t="shared" si="0"/>
        <v xml:space="preserve"> PCE / Kiện</v>
      </c>
      <c r="F104" s="395">
        <v>4</v>
      </c>
      <c r="G104" s="395">
        <v>80</v>
      </c>
      <c r="H104" s="364">
        <v>88</v>
      </c>
      <c r="I104" s="276"/>
      <c r="J104" s="220"/>
      <c r="K104" s="277"/>
      <c r="L104" s="278"/>
    </row>
    <row r="105" spans="1:19" s="68" customFormat="1" ht="60.75" customHeight="1">
      <c r="A105" s="173">
        <f>'HỢP ĐỒNG'!A111</f>
        <v>93</v>
      </c>
      <c r="B105" s="178" t="str">
        <f>'HỢP ĐỒNG'!C111</f>
        <v>Bánh răng của máy may viền bao, chất liệu bằng sắt, KT:(6*11)cm +/-10%, không hiệu, NSX: Cixi Hongge Electric Appliance Co., Ltd, mới 100%</v>
      </c>
      <c r="C105" s="179" t="str">
        <f>'HỢP ĐỒNG'!D111</f>
        <v>PCE</v>
      </c>
      <c r="D105" s="180">
        <f>'HỢP ĐỒNG'!E111</f>
        <v>50</v>
      </c>
      <c r="E105" s="304" t="str">
        <f t="shared" si="0"/>
        <v xml:space="preserve"> PCE / Kiện</v>
      </c>
      <c r="F105" s="439">
        <v>1</v>
      </c>
      <c r="G105" s="439">
        <v>88</v>
      </c>
      <c r="H105" s="440">
        <v>90</v>
      </c>
      <c r="I105" s="276"/>
      <c r="J105" s="220"/>
      <c r="K105" s="277"/>
      <c r="L105" s="278"/>
    </row>
    <row r="106" spans="1:19" s="68" customFormat="1" ht="60.75" customHeight="1">
      <c r="A106" s="173">
        <f>'HỢP ĐỒNG'!A112</f>
        <v>94</v>
      </c>
      <c r="B106" s="178" t="str">
        <f>'HỢP ĐỒNG'!C112</f>
        <v>Bộ phận của máy may viền túi vải PP không dệt: Bộ khuôn dán viền túi gồm tấm khuôn và cụm khuôn ép,bằng thép hợp kim. KT dài 300mm+-10%, không hiệu. NSX: Cixi Hongge Electric Appliance, mới 100%</v>
      </c>
      <c r="C106" s="179" t="str">
        <f>'HỢP ĐỒNG'!D112</f>
        <v>SET</v>
      </c>
      <c r="D106" s="180">
        <f>'HỢP ĐỒNG'!E112</f>
        <v>3</v>
      </c>
      <c r="E106" s="304" t="str">
        <f t="shared" si="0"/>
        <v xml:space="preserve"> SET / Kiện</v>
      </c>
      <c r="F106" s="439"/>
      <c r="G106" s="439"/>
      <c r="H106" s="440"/>
      <c r="I106" s="276"/>
      <c r="J106" s="220"/>
      <c r="K106" s="277"/>
      <c r="L106" s="278"/>
    </row>
    <row r="107" spans="1:19" s="68" customFormat="1" ht="60.75" customHeight="1">
      <c r="A107" s="173">
        <f>'HỢP ĐỒNG'!A113</f>
        <v>95</v>
      </c>
      <c r="B107" s="178" t="str">
        <f>'HỢP ĐỒNG'!C113</f>
        <v>Bộ phận của máy may viền túi vải PP không dệt: Con lăn dùng để tạo đường hàn biên, KT: 52*23mm+-10%, không hiệu, NSX: Cixi Hongge Electric Appliance Co., Ltd, mới 100%</v>
      </c>
      <c r="C107" s="179" t="str">
        <f>'HỢP ĐỒNG'!D113</f>
        <v>PCE</v>
      </c>
      <c r="D107" s="180">
        <f>'HỢP ĐỒNG'!E113</f>
        <v>10</v>
      </c>
      <c r="E107" s="304" t="str">
        <f t="shared" si="0"/>
        <v xml:space="preserve"> PCE / Kiện</v>
      </c>
      <c r="F107" s="439"/>
      <c r="G107" s="439"/>
      <c r="H107" s="440"/>
      <c r="I107" s="276"/>
      <c r="J107" s="220"/>
      <c r="K107" s="277"/>
      <c r="L107" s="278"/>
      <c r="S107" s="220" t="e">
        <f>SUM(#REF!)</f>
        <v>#REF!</v>
      </c>
    </row>
    <row r="108" spans="1:19" s="68" customFormat="1" ht="60.75" customHeight="1">
      <c r="A108" s="173">
        <f>'HỢP ĐỒNG'!A114</f>
        <v>96</v>
      </c>
      <c r="B108" s="178" t="str">
        <f>'HỢP ĐỒNG'!C114</f>
        <v>Cánh hoa nhân tạo bằng giấy sáp, KT: đk 3.5-4.5cm+-10%, không hiệu. Nsx: Guangdong Daming Decoration Co., Ltd, Mới 100%</v>
      </c>
      <c r="C108" s="179" t="str">
        <f>'HỢP ĐỒNG'!D114</f>
        <v>KGM</v>
      </c>
      <c r="D108" s="180">
        <f>'HỢP ĐỒNG'!E114</f>
        <v>100</v>
      </c>
      <c r="E108" s="304" t="str">
        <f t="shared" si="0"/>
        <v xml:space="preserve"> KGM / Kiện</v>
      </c>
      <c r="F108" s="395">
        <v>16</v>
      </c>
      <c r="G108" s="395">
        <v>100</v>
      </c>
      <c r="H108" s="364">
        <v>116</v>
      </c>
      <c r="I108" s="276"/>
      <c r="J108" s="220"/>
      <c r="K108" s="277"/>
      <c r="L108" s="278"/>
    </row>
    <row r="109" spans="1:19" s="68" customFormat="1" ht="60.75" customHeight="1">
      <c r="A109" s="173">
        <f>'HỢP ĐỒNG'!A115</f>
        <v>97</v>
      </c>
      <c r="B109" s="178" t="str">
        <f>'HỢP ĐỒNG'!C115</f>
        <v>Điều khiển tivi từ xa thông minh, loại điều khiển bằng sóng hồng ngoại, vỏ bằng nhựa tổng hợp. Không hiệu. Nsx: Qingdao Desheng Co.,Ltd. Mới 100%</v>
      </c>
      <c r="C109" s="179" t="str">
        <f>'HỢP ĐỒNG'!D115</f>
        <v>PCE</v>
      </c>
      <c r="D109" s="180">
        <f>'HỢP ĐỒNG'!E115</f>
        <v>1900</v>
      </c>
      <c r="E109" s="304" t="str">
        <f t="shared" si="0"/>
        <v xml:space="preserve"> PCE / Kiện</v>
      </c>
      <c r="F109" s="439">
        <v>51</v>
      </c>
      <c r="G109" s="439">
        <v>1695</v>
      </c>
      <c r="H109" s="440">
        <v>1797</v>
      </c>
      <c r="I109" s="276"/>
      <c r="J109" s="220"/>
      <c r="K109" s="277"/>
      <c r="L109" s="278"/>
    </row>
    <row r="110" spans="1:19" s="68" customFormat="1" ht="60.75" customHeight="1">
      <c r="A110" s="173">
        <f>'HỢP ĐỒNG'!A116</f>
        <v>98</v>
      </c>
      <c r="B110" s="178" t="str">
        <f>'HỢP ĐỒNG'!C116</f>
        <v>Điều khiển tivi từ xa dùng pin AAA,loại điều khiển bằng sóng hồng ngoại, vỏ bằng nhựa tổng hợp. Không hiệu. Nsx: Guangdong Co.,Ltd. Mới 100%</v>
      </c>
      <c r="C110" s="179" t="str">
        <f>'HỢP ĐỒNG'!D116</f>
        <v>PCE</v>
      </c>
      <c r="D110" s="180">
        <f>'HỢP ĐỒNG'!E116</f>
        <v>6800</v>
      </c>
      <c r="E110" s="304" t="str">
        <f t="shared" si="0"/>
        <v xml:space="preserve"> PCE / Kiện</v>
      </c>
      <c r="F110" s="439"/>
      <c r="G110" s="439"/>
      <c r="H110" s="440"/>
      <c r="I110" s="276"/>
      <c r="J110" s="220"/>
      <c r="K110" s="277"/>
      <c r="L110" s="278"/>
    </row>
    <row r="111" spans="1:19" s="68" customFormat="1" ht="60.75" customHeight="1">
      <c r="A111" s="173">
        <f>'HỢP ĐỒNG'!A117</f>
        <v>99</v>
      </c>
      <c r="B111" s="178" t="str">
        <f>'HỢP ĐỒNG'!C117</f>
        <v>Điều khiển điều hòa từ xa, điều khiển bằng sóng hồng ngoại, vỏ bằng nhựa PVC. Không hiệu. Nsx: Shanghai shanghua electronic Co.,Ltd. Mới 100%</v>
      </c>
      <c r="C111" s="179" t="str">
        <f>'HỢP ĐỒNG'!D117</f>
        <v>PCE</v>
      </c>
      <c r="D111" s="180">
        <f>'HỢP ĐỒNG'!E117</f>
        <v>3450</v>
      </c>
      <c r="E111" s="304" t="str">
        <f t="shared" si="0"/>
        <v xml:space="preserve"> PCE / Kiện</v>
      </c>
      <c r="F111" s="439"/>
      <c r="G111" s="439"/>
      <c r="H111" s="440"/>
      <c r="I111" s="276"/>
      <c r="J111" s="220"/>
      <c r="K111" s="277"/>
      <c r="L111" s="278"/>
    </row>
    <row r="112" spans="1:19" s="68" customFormat="1" ht="60.75" customHeight="1">
      <c r="A112" s="173">
        <f>'HỢP ĐỒNG'!A118</f>
        <v>100</v>
      </c>
      <c r="B112" s="178" t="str">
        <f>'HỢP ĐỒNG'!C118</f>
        <v>Máy cưa bê tông đĩa tròn cầm tay không chổi than model K6006, hoạt động bằng điện, đ/a: 220V, cs: 55W, tốc độ: 2700 vòng/p, không hiệu,NSX: Ningbo zhihao machinery. Mới 100%</v>
      </c>
      <c r="C112" s="179" t="str">
        <f>'HỢP ĐỒNG'!D118</f>
        <v>PCE</v>
      </c>
      <c r="D112" s="180">
        <f>'HỢP ĐỒNG'!E118</f>
        <v>16</v>
      </c>
      <c r="E112" s="304" t="str">
        <f t="shared" si="0"/>
        <v xml:space="preserve"> PCE / Kiện</v>
      </c>
      <c r="F112" s="395">
        <v>17</v>
      </c>
      <c r="G112" s="395">
        <v>207</v>
      </c>
      <c r="H112" s="364">
        <v>241</v>
      </c>
      <c r="I112" s="276"/>
      <c r="J112" s="220"/>
      <c r="K112" s="277"/>
      <c r="L112" s="278"/>
    </row>
    <row r="113" spans="1:12" s="68" customFormat="1" ht="60.75" customHeight="1">
      <c r="A113" s="173">
        <f>'HỢP ĐỒNG'!A119</f>
        <v>101</v>
      </c>
      <c r="B113" s="178" t="str">
        <f>'HỢP ĐỒNG'!C119</f>
        <v>Đèn chiếu sáng trang trí bể cá cảnh, Model:DY-A200, sử dụng nguồn sáng đi ốt phát quang (LED) không phải loại quang điện. KT: 20*15*8cm. CS: 18W/220V. Hiệu:DEYAO. Mới 100%</v>
      </c>
      <c r="C113" s="179" t="str">
        <f>'HỢP ĐỒNG'!D119</f>
        <v>PCE</v>
      </c>
      <c r="D113" s="180">
        <f>'HỢP ĐỒNG'!E119</f>
        <v>120</v>
      </c>
      <c r="E113" s="304" t="str">
        <f t="shared" si="0"/>
        <v xml:space="preserve"> PCE / Kiện</v>
      </c>
      <c r="F113" s="439">
        <v>265</v>
      </c>
      <c r="G113" s="439">
        <v>4313</v>
      </c>
      <c r="H113" s="440">
        <v>4578</v>
      </c>
      <c r="I113" s="276"/>
      <c r="J113" s="220"/>
      <c r="K113" s="277"/>
      <c r="L113" s="278"/>
    </row>
    <row r="114" spans="1:12" s="68" customFormat="1" ht="60.75" customHeight="1">
      <c r="A114" s="173">
        <f>'HỢP ĐỒNG'!A120</f>
        <v>102</v>
      </c>
      <c r="B114" s="178" t="str">
        <f>'HỢP ĐỒNG'!C120</f>
        <v>Đèn chiếu sáng trang trí bể cá cảnh, Model:DY-A300, sử dụng nguồn sáng đi ốt phát quang (LED) không phải loại quang điện. KT: 30*15*8cm. CS: 22W/220V. Hiệu:DEYAO. Mới 100%</v>
      </c>
      <c r="C114" s="179" t="str">
        <f>'HỢP ĐỒNG'!D120</f>
        <v>PCE</v>
      </c>
      <c r="D114" s="180">
        <f>'HỢP ĐỒNG'!E120</f>
        <v>160</v>
      </c>
      <c r="E114" s="304" t="str">
        <f t="shared" si="0"/>
        <v xml:space="preserve"> PCE / Kiện</v>
      </c>
      <c r="F114" s="439"/>
      <c r="G114" s="439"/>
      <c r="H114" s="440"/>
      <c r="I114" s="276"/>
      <c r="J114" s="220"/>
      <c r="K114" s="277"/>
      <c r="L114" s="278"/>
    </row>
    <row r="115" spans="1:12" s="68" customFormat="1" ht="60.75" customHeight="1">
      <c r="A115" s="173">
        <f>'HỢP ĐỒNG'!A121</f>
        <v>103</v>
      </c>
      <c r="B115" s="178" t="str">
        <f>'HỢP ĐỒNG'!C121</f>
        <v>Đèn chiếu sáng trang trí bể cá cảnh, Model:DY-A400, sử dụng nguồn sáng đi ốt phát quang (LED) không phải loại quang điện. KT: 40*15*8cm. CS: 28W/220V. Hiệu:DEYAO. Mới 100%</v>
      </c>
      <c r="C115" s="179" t="str">
        <f>'HỢP ĐỒNG'!D121</f>
        <v>PCE</v>
      </c>
      <c r="D115" s="180">
        <f>'HỢP ĐỒNG'!E121</f>
        <v>200</v>
      </c>
      <c r="E115" s="304" t="str">
        <f t="shared" si="0"/>
        <v xml:space="preserve"> PCE / Kiện</v>
      </c>
      <c r="F115" s="439"/>
      <c r="G115" s="439"/>
      <c r="H115" s="440"/>
      <c r="I115" s="276"/>
      <c r="J115" s="220"/>
      <c r="K115" s="277"/>
      <c r="L115" s="278"/>
    </row>
    <row r="116" spans="1:12" s="68" customFormat="1" ht="60.75" customHeight="1">
      <c r="A116" s="173">
        <f>'HỢP ĐỒNG'!A122</f>
        <v>104</v>
      </c>
      <c r="B116" s="178" t="str">
        <f>'HỢP ĐỒNG'!C122</f>
        <v>Đèn chiếu sáng trang trí bể cá cảnh, Model:DY-A500, sử dụng nguồn sáng đi ốt phát quang (LED) không phải loại quang điện. KT: 50*15*8cm. CS: 34W/220V. Hiệu:DEYAO. Mới 100%</v>
      </c>
      <c r="C116" s="179" t="str">
        <f>'HỢP ĐỒNG'!D122</f>
        <v>PCE</v>
      </c>
      <c r="D116" s="180">
        <f>'HỢP ĐỒNG'!E122</f>
        <v>600</v>
      </c>
      <c r="E116" s="304" t="str">
        <f t="shared" si="0"/>
        <v xml:space="preserve"> PCE / Kiện</v>
      </c>
      <c r="F116" s="439"/>
      <c r="G116" s="439"/>
      <c r="H116" s="440"/>
      <c r="I116" s="276"/>
      <c r="J116" s="220"/>
      <c r="K116" s="277"/>
      <c r="L116" s="278"/>
    </row>
    <row r="117" spans="1:12" s="68" customFormat="1" ht="60.75" customHeight="1">
      <c r="A117" s="173">
        <f>'HỢP ĐỒNG'!A123</f>
        <v>105</v>
      </c>
      <c r="B117" s="178" t="str">
        <f>'HỢP ĐỒNG'!C123</f>
        <v>Đèn chiếu sáng trang trí bể cá cảnh, Model:DY-A600, sử dụng nguồn sáng đi ốt phát quang (LED) không phải loại quang điện. KT: 60*15*8cm. CS: 38W/220V. Hiệu:DEYAO. Mới 100%</v>
      </c>
      <c r="C117" s="179" t="str">
        <f>'HỢP ĐỒNG'!D123</f>
        <v>PCE</v>
      </c>
      <c r="D117" s="180">
        <f>'HỢP ĐỒNG'!E123</f>
        <v>800</v>
      </c>
      <c r="E117" s="304" t="str">
        <f t="shared" si="0"/>
        <v xml:space="preserve"> PCE / Kiện</v>
      </c>
      <c r="F117" s="439"/>
      <c r="G117" s="439"/>
      <c r="H117" s="440"/>
      <c r="I117" s="276"/>
      <c r="J117" s="220"/>
      <c r="K117" s="277"/>
      <c r="L117" s="278"/>
    </row>
    <row r="118" spans="1:12" s="68" customFormat="1" ht="60.75" customHeight="1">
      <c r="A118" s="173">
        <f>'HỢP ĐỒNG'!A124</f>
        <v>106</v>
      </c>
      <c r="B118" s="178" t="str">
        <f>'HỢP ĐỒNG'!C124</f>
        <v>Đèn chiếu sáng trang trí bể cá cảnh, Model:DY-A800, sử dụng nguồn sáng đi ốt phát quang (LED) không phải loại quang điện. KT: 80*15*8cm. CS: 46W/220V. Hiệu:DEYAO. Mới 100%</v>
      </c>
      <c r="C118" s="179" t="str">
        <f>'HỢP ĐỒNG'!D124</f>
        <v>PCE</v>
      </c>
      <c r="D118" s="180">
        <f>'HỢP ĐỒNG'!E124</f>
        <v>600</v>
      </c>
      <c r="E118" s="304" t="str">
        <f t="shared" si="0"/>
        <v xml:space="preserve"> PCE / Kiện</v>
      </c>
      <c r="F118" s="439"/>
      <c r="G118" s="439"/>
      <c r="H118" s="440"/>
      <c r="I118" s="276"/>
      <c r="J118" s="220"/>
      <c r="K118" s="277"/>
      <c r="L118" s="278"/>
    </row>
    <row r="119" spans="1:12" s="68" customFormat="1" ht="60.75" customHeight="1">
      <c r="A119" s="173">
        <f>'HỢP ĐỒNG'!A125</f>
        <v>107</v>
      </c>
      <c r="B119" s="178" t="str">
        <f>'HỢP ĐỒNG'!C125</f>
        <v>Đèn chiếu sáng trang trí bể cá cảnh, Model:DY-A1000, sử dụng nguồn sáng đi ốt phát quang (LED) không phải loại quang điện. KT: 100*15*8cm. CS: 55W/220V. Hiệu:DEYAO. Mới 100%</v>
      </c>
      <c r="C119" s="179" t="str">
        <f>'HỢP ĐỒNG'!D125</f>
        <v>PCE</v>
      </c>
      <c r="D119" s="180">
        <f>'HỢP ĐỒNG'!E125</f>
        <v>400</v>
      </c>
      <c r="E119" s="304" t="str">
        <f t="shared" si="0"/>
        <v xml:space="preserve"> PCE / Kiện</v>
      </c>
      <c r="F119" s="439"/>
      <c r="G119" s="439"/>
      <c r="H119" s="440"/>
      <c r="I119" s="276"/>
      <c r="J119" s="220"/>
      <c r="K119" s="277"/>
      <c r="L119" s="278"/>
    </row>
    <row r="120" spans="1:12" s="68" customFormat="1" ht="60.75" customHeight="1">
      <c r="A120" s="173">
        <f>'HỢP ĐỒNG'!A126</f>
        <v>108</v>
      </c>
      <c r="B120" s="178" t="str">
        <f>'HỢP ĐỒNG'!C126</f>
        <v>Đèn chiếu sáng trang trí bể cá cảnh, Model: E23, sử dụng nguồn sáng đi ốt phát quang (LED) không phải loại quang điện. KT: 30*10*8cm. Công suất:12w/220V. Hiệu:DEYAO. Mới 100%</v>
      </c>
      <c r="C120" s="179" t="str">
        <f>'HỢP ĐỒNG'!D126</f>
        <v>PCE</v>
      </c>
      <c r="D120" s="180">
        <f>'HỢP ĐỒNG'!E126</f>
        <v>250</v>
      </c>
      <c r="E120" s="304" t="str">
        <f t="shared" si="0"/>
        <v xml:space="preserve"> PCE / Kiện</v>
      </c>
      <c r="F120" s="439"/>
      <c r="G120" s="439"/>
      <c r="H120" s="440"/>
      <c r="I120" s="276"/>
      <c r="J120" s="220"/>
      <c r="K120" s="277"/>
      <c r="L120" s="278"/>
    </row>
    <row r="121" spans="1:12" s="68" customFormat="1" ht="60.75" customHeight="1">
      <c r="A121" s="173">
        <f>'HỢP ĐỒNG'!A127</f>
        <v>109</v>
      </c>
      <c r="B121" s="178" t="str">
        <f>'HỢP ĐỒNG'!C127</f>
        <v>Đèn chiếu sáng trang trí bể cá cảnh, Model:E29 , sử dụng nguồn sáng đi ốt phát quang (LED) không phải loại quang điện. KT: 40*10*8cm. Công suất:16w/220V. Hiệu:DEYAO. Mới 100%</v>
      </c>
      <c r="C121" s="179" t="str">
        <f>'HỢP ĐỒNG'!D127</f>
        <v>PCE</v>
      </c>
      <c r="D121" s="180">
        <f>'HỢP ĐỒNG'!E127</f>
        <v>250</v>
      </c>
      <c r="E121" s="304" t="str">
        <f t="shared" si="0"/>
        <v xml:space="preserve"> PCE / Kiện</v>
      </c>
      <c r="F121" s="439"/>
      <c r="G121" s="439"/>
      <c r="H121" s="440"/>
      <c r="I121" s="276"/>
      <c r="J121" s="220"/>
      <c r="K121" s="277"/>
      <c r="L121" s="278"/>
    </row>
    <row r="122" spans="1:12" s="68" customFormat="1" ht="60.75" customHeight="1">
      <c r="A122" s="173">
        <f>'HỢP ĐỒNG'!A128</f>
        <v>110</v>
      </c>
      <c r="B122" s="178" t="str">
        <f>'HỢP ĐỒNG'!C128</f>
        <v>Đèn chiếu sáng trang trí bể cá cảnh, Model: E39, sử dụng nguồn sáng đi ốt phát quang (LED) không phải loại quang điện. KT: 40*10*8cm. Công suất:20w/220V. Hiệu:DEYAO. Mới 100%</v>
      </c>
      <c r="C122" s="179" t="str">
        <f>'HỢP ĐỒNG'!D128</f>
        <v>PCE</v>
      </c>
      <c r="D122" s="180">
        <f>'HỢP ĐỒNG'!E128</f>
        <v>250</v>
      </c>
      <c r="E122" s="304" t="str">
        <f t="shared" si="0"/>
        <v xml:space="preserve"> PCE / Kiện</v>
      </c>
      <c r="F122" s="439"/>
      <c r="G122" s="439"/>
      <c r="H122" s="440"/>
      <c r="I122" s="276"/>
      <c r="J122" s="220"/>
      <c r="K122" s="277"/>
      <c r="L122" s="278"/>
    </row>
    <row r="123" spans="1:12" s="68" customFormat="1" ht="60.75" customHeight="1">
      <c r="A123" s="173">
        <f>'HỢP ĐỒNG'!A129</f>
        <v>111</v>
      </c>
      <c r="B123" s="178" t="str">
        <f>'HỢP ĐỒNG'!C129</f>
        <v>Đèn chiếu sáng trang trí bể cá cảnh, Model: E49 , sử dụng nguồn sáng đi ốt phát quang (LED) không phải loại quang điện. KT: 40*10*8cm. Công suất:24w/220V. Hiệu:DEYAO. Mới 100%</v>
      </c>
      <c r="C123" s="179" t="str">
        <f>'HỢP ĐỒNG'!D129</f>
        <v>PCE</v>
      </c>
      <c r="D123" s="180">
        <f>'HỢP ĐỒNG'!E129</f>
        <v>250</v>
      </c>
      <c r="E123" s="304" t="str">
        <f t="shared" si="0"/>
        <v xml:space="preserve"> PCE / Kiện</v>
      </c>
      <c r="F123" s="439"/>
      <c r="G123" s="439"/>
      <c r="H123" s="440"/>
      <c r="I123" s="276"/>
      <c r="J123" s="220"/>
      <c r="K123" s="277"/>
      <c r="L123" s="278"/>
    </row>
    <row r="124" spans="1:12" s="68" customFormat="1" ht="60.75" customHeight="1">
      <c r="A124" s="173">
        <f>'HỢP ĐỒNG'!A130</f>
        <v>112</v>
      </c>
      <c r="B124" s="178" t="str">
        <f>'HỢP ĐỒNG'!C130</f>
        <v>Đèn chiếu sáng trang trí bể cá cảnh, Model:CF02, sử dụng nguồn sáng đi ốt phát quang (LED), không phải loại quang điện. KT: 18*15*6cm.Công suất: 13W-220V. Hiệu:DEYAO. Mới 100%</v>
      </c>
      <c r="C124" s="179" t="str">
        <f>'HỢP ĐỒNG'!D130</f>
        <v>PCE</v>
      </c>
      <c r="D124" s="180">
        <f>'HỢP ĐỒNG'!E130</f>
        <v>2000</v>
      </c>
      <c r="E124" s="304" t="str">
        <f t="shared" si="0"/>
        <v xml:space="preserve"> PCE / Kiện</v>
      </c>
      <c r="F124" s="439"/>
      <c r="G124" s="439"/>
      <c r="H124" s="440"/>
      <c r="I124" s="276"/>
      <c r="J124" s="220"/>
      <c r="K124" s="277"/>
      <c r="L124" s="278"/>
    </row>
    <row r="125" spans="1:12" s="68" customFormat="1" ht="60.75" customHeight="1">
      <c r="A125" s="173">
        <f>'HỢP ĐỒNG'!A131</f>
        <v>113</v>
      </c>
      <c r="B125" s="178" t="str">
        <f>'HỢP ĐỒNG'!C131</f>
        <v>Đèn chiếu sáng trang trí bể cá cảnh, Model:F-01, sử dụng nguồn sáng đi ốt phát quang (LED), không phải loại quang điện KT: 35*15*10cm.Công suất: 12W-220V. Hiệu:DEYAO. Mới 100%</v>
      </c>
      <c r="C125" s="179" t="str">
        <f>'HỢP ĐỒNG'!D131</f>
        <v>PCE</v>
      </c>
      <c r="D125" s="180">
        <f>'HỢP ĐỒNG'!E131</f>
        <v>300</v>
      </c>
      <c r="E125" s="304" t="str">
        <f t="shared" si="0"/>
        <v xml:space="preserve"> PCE / Kiện</v>
      </c>
      <c r="F125" s="439"/>
      <c r="G125" s="439"/>
      <c r="H125" s="440"/>
      <c r="I125" s="276"/>
      <c r="J125" s="220"/>
      <c r="K125" s="277"/>
      <c r="L125" s="278"/>
    </row>
    <row r="126" spans="1:12" s="68" customFormat="1" ht="60.75" customHeight="1">
      <c r="A126" s="173">
        <f>'HỢP ĐỒNG'!A132</f>
        <v>114</v>
      </c>
      <c r="B126" s="178" t="str">
        <f>'HỢP ĐỒNG'!C132</f>
        <v>Đèn chiếu sáng trang trí bể cá cảnh, Model:F-07, sử dụng nguồn sáng đi ốt phát quang (LED), không phải loại quang điện. KT: 35*15*10cm.Công suất: 20W-220V. Hiệu:DEYAO. Mới 100%</v>
      </c>
      <c r="C126" s="179" t="str">
        <f>'HỢP ĐỒNG'!D132</f>
        <v>PCE</v>
      </c>
      <c r="D126" s="180">
        <f>'HỢP ĐỒNG'!E132</f>
        <v>250</v>
      </c>
      <c r="E126" s="304" t="str">
        <f t="shared" si="0"/>
        <v xml:space="preserve"> PCE / Kiện</v>
      </c>
      <c r="F126" s="439"/>
      <c r="G126" s="439"/>
      <c r="H126" s="440"/>
      <c r="I126" s="276"/>
      <c r="J126" s="220"/>
      <c r="K126" s="277"/>
      <c r="L126" s="278"/>
    </row>
    <row r="127" spans="1:12" s="68" customFormat="1" ht="60.75" customHeight="1">
      <c r="A127" s="173">
        <f>'HỢP ĐỒNG'!A133</f>
        <v>115</v>
      </c>
      <c r="B127" s="178" t="str">
        <f>'HỢP ĐỒNG'!C133</f>
        <v>Đèn chiếu sáng trang trí bể cá cảnh, Model:F-09, sử dụng nguồn sáng đi ốt phát quang (LED, không phải loại quang điện. KT: 35*15*10cm.Công suất: 15W-220V. Hiệu:DEYAO. Mới 100%</v>
      </c>
      <c r="C127" s="179" t="str">
        <f>'HỢP ĐỒNG'!D133</f>
        <v>PCE</v>
      </c>
      <c r="D127" s="180">
        <f>'HỢP ĐỒNG'!E133</f>
        <v>400</v>
      </c>
      <c r="E127" s="304" t="str">
        <f t="shared" si="0"/>
        <v xml:space="preserve"> PCE / Kiện</v>
      </c>
      <c r="F127" s="439"/>
      <c r="G127" s="439"/>
      <c r="H127" s="440"/>
      <c r="I127" s="276"/>
      <c r="J127" s="220"/>
      <c r="K127" s="277"/>
      <c r="L127" s="278"/>
    </row>
    <row r="128" spans="1:12" s="68" customFormat="1" ht="60.75" customHeight="1">
      <c r="A128" s="173">
        <f>'HỢP ĐỒNG'!A134</f>
        <v>116</v>
      </c>
      <c r="B128" s="178" t="str">
        <f>'HỢP ĐỒNG'!C134</f>
        <v>Hộp giấy bìa không sóng có thể gấp lại dùng để đóng gói, vận chuyển hoa sáp, KT: 46*24*8cm+-10%, không hiệu. Nsx: Guangdong Daming Decoration Co., Ltd, Mới 100%</v>
      </c>
      <c r="C128" s="179" t="str">
        <f>'HỢP ĐỒNG'!D134</f>
        <v>KGM</v>
      </c>
      <c r="D128" s="180">
        <f>'HỢP ĐỒNG'!E134</f>
        <v>400</v>
      </c>
      <c r="E128" s="304" t="str">
        <f t="shared" si="0"/>
        <v xml:space="preserve"> KGM / Kiện</v>
      </c>
      <c r="F128" s="439">
        <v>14</v>
      </c>
      <c r="G128" s="439">
        <v>500</v>
      </c>
      <c r="H128" s="440">
        <v>528</v>
      </c>
      <c r="I128" s="276"/>
      <c r="J128" s="220"/>
      <c r="K128" s="277"/>
      <c r="L128" s="278"/>
    </row>
    <row r="129" spans="1:19" s="68" customFormat="1" ht="60.75" customHeight="1">
      <c r="A129" s="173">
        <f>'HỢP ĐỒNG'!A135</f>
        <v>117</v>
      </c>
      <c r="B129" s="178" t="str">
        <f>'HỢP ĐỒNG'!C135</f>
        <v>Khay nhựa PVC định hình bóng khí, dùng lót đáy hộp quà tặng khi đóng gói vận chuyển, chất liệu nhựa PVC, KT: 44*22*3.1cm+-10%, không hiệu. Nsx: Guangdong Daming Decoration Co., Ltd, Mới 100%</v>
      </c>
      <c r="C129" s="179" t="str">
        <f>'HỢP ĐỒNG'!D135</f>
        <v>KGM</v>
      </c>
      <c r="D129" s="180">
        <f>'HỢP ĐỒNG'!E135</f>
        <v>100</v>
      </c>
      <c r="E129" s="304" t="str">
        <f t="shared" ref="E129:E134" si="1">IF(C129="Kg",IF(I129&lt;D129,I129&amp;" "&amp;C129&amp;" "&amp;"/ Kiện",I129&amp;" "&amp;C129&amp;" "&amp;"/ "&amp;F129&amp;" Kiện"),IF(AND(D129=I129),I129&amp;" "&amp;C129&amp;" "&amp;"/ "&amp;F129&amp;" Kiện",I129&amp;" "&amp;C129&amp;" "&amp;"/ Kiện"))</f>
        <v xml:space="preserve"> KGM / Kiện</v>
      </c>
      <c r="F129" s="439"/>
      <c r="G129" s="439"/>
      <c r="H129" s="440"/>
      <c r="I129" s="276"/>
      <c r="J129" s="220"/>
      <c r="K129" s="277"/>
      <c r="L129" s="278"/>
    </row>
    <row r="130" spans="1:19" s="68" customFormat="1" ht="60.75" customHeight="1">
      <c r="A130" s="173">
        <f>'HỢP ĐỒNG'!A136</f>
        <v>118</v>
      </c>
      <c r="B130" s="178" t="str">
        <f>'HỢP ĐỒNG'!C136</f>
        <v>Giày bốt trẻ em cổ cao quá mắt cá chân, không đúc, đế bằng cao su mềm, mũ giày bằng nhựa giả da, mũi không gắn bảo vệ, size 22-31. KH:D509, không hiệu. NSX:Jinjiang Anao Footwear Co.,Ltd. mới 100%</v>
      </c>
      <c r="C130" s="179" t="str">
        <f>'HỢP ĐỒNG'!D136</f>
        <v>PR</v>
      </c>
      <c r="D130" s="180">
        <f>'HỢP ĐỒNG'!E136</f>
        <v>200</v>
      </c>
      <c r="E130" s="304" t="str">
        <f t="shared" si="1"/>
        <v xml:space="preserve"> PR / Kiện</v>
      </c>
      <c r="F130" s="395">
        <v>4</v>
      </c>
      <c r="G130" s="395">
        <v>78</v>
      </c>
      <c r="H130" s="364">
        <v>86</v>
      </c>
      <c r="I130" s="276"/>
      <c r="J130" s="220"/>
      <c r="K130" s="277"/>
      <c r="L130" s="278"/>
    </row>
    <row r="131" spans="1:19" s="68" customFormat="1" ht="60.75" customHeight="1">
      <c r="A131" s="173">
        <f>'HỢP ĐỒNG'!A137</f>
        <v>119</v>
      </c>
      <c r="B131" s="178" t="str">
        <f>'HỢP ĐỒNG'!C137</f>
        <v>Trạm mồi chống mối nổi kèm phụ kiện lắp đặt, không thấm tẩm hóa chất, chất liệu bằng nhựa tổng hợp, KT: 16.5*8.5*6.5cm+-10%, không hiệu. NSX: Shenzhen iPest Technology Co., Ltd. mới 100%</v>
      </c>
      <c r="C131" s="179" t="str">
        <f>'HỢP ĐỒNG'!D137</f>
        <v>SET</v>
      </c>
      <c r="D131" s="180">
        <f>'HỢP ĐỒNG'!E137</f>
        <v>500</v>
      </c>
      <c r="E131" s="304" t="str">
        <f t="shared" si="1"/>
        <v xml:space="preserve"> SET / Kiện</v>
      </c>
      <c r="F131" s="395">
        <v>5</v>
      </c>
      <c r="G131" s="395">
        <v>54</v>
      </c>
      <c r="H131" s="364">
        <v>64</v>
      </c>
      <c r="I131" s="276"/>
      <c r="J131" s="220"/>
      <c r="K131" s="277"/>
      <c r="L131" s="278"/>
    </row>
    <row r="132" spans="1:19" s="68" customFormat="1" ht="60.75" customHeight="1">
      <c r="A132" s="173">
        <f>'HỢP ĐỒNG'!A138</f>
        <v>120</v>
      </c>
      <c r="B132" s="178" t="str">
        <f>'HỢP ĐỒNG'!C138</f>
        <v>Bánh xe treo cửa thang máy, chất liệu bằng thép không gỉ. KT: (56*14)mm, model: 6201RS, không hiệu. NSX: Tiyou Elevator Parts. Mới 100%</v>
      </c>
      <c r="C132" s="179" t="str">
        <f>'HỢP ĐỒNG'!D138</f>
        <v>PCE</v>
      </c>
      <c r="D132" s="180">
        <f>'HỢP ĐỒNG'!E138</f>
        <v>200</v>
      </c>
      <c r="E132" s="304" t="str">
        <f t="shared" si="1"/>
        <v xml:space="preserve"> PCE / Kiện</v>
      </c>
      <c r="F132" s="439">
        <v>2</v>
      </c>
      <c r="G132" s="439">
        <v>51</v>
      </c>
      <c r="H132" s="440">
        <v>55</v>
      </c>
      <c r="I132" s="276"/>
      <c r="J132" s="220"/>
      <c r="K132" s="277"/>
      <c r="L132" s="278"/>
    </row>
    <row r="133" spans="1:19" s="68" customFormat="1" ht="60.75" customHeight="1">
      <c r="A133" s="173">
        <f>'HỢP ĐỒNG'!A139</f>
        <v>121</v>
      </c>
      <c r="B133" s="178" t="str">
        <f>'HỢP ĐỒNG'!C139</f>
        <v>Bánh xe treo cửa thang máy, rãnh phẳng, chất liệu bằng thép không gỉ. KT: (62*16)mm, model: 6203, không hiệu. NSX: Tiyou Elevator Parts. Mới 100%</v>
      </c>
      <c r="C133" s="179" t="str">
        <f>'HỢP ĐỒNG'!D139</f>
        <v>PCE</v>
      </c>
      <c r="D133" s="180">
        <f>'HỢP ĐỒNG'!E139</f>
        <v>150</v>
      </c>
      <c r="E133" s="304" t="str">
        <f t="shared" si="1"/>
        <v xml:space="preserve"> PCE / Kiện</v>
      </c>
      <c r="F133" s="439"/>
      <c r="G133" s="439"/>
      <c r="H133" s="440"/>
      <c r="I133" s="276"/>
      <c r="J133" s="220"/>
      <c r="K133" s="277"/>
      <c r="L133" s="278"/>
      <c r="Q133" s="68">
        <f>72.5+0.75</f>
        <v>73.25</v>
      </c>
    </row>
    <row r="134" spans="1:19" s="68" customFormat="1" ht="60.75" customHeight="1">
      <c r="A134" s="173">
        <f>'HỢP ĐỒNG'!A140</f>
        <v>122</v>
      </c>
      <c r="B134" s="178" t="str">
        <f>'HỢP ĐỒNG'!C140</f>
        <v>Bông hoa tuylip nhân tạo, chất liệu nhựa PVC, lõi bằng thép, đã định hình hoàn chỉnh, dùng để trang trí. KT: (35*4)cm+/-10%, không hiệu. NSX: Yuchen Artificial Flower Strength Supplier, mới 100%</v>
      </c>
      <c r="C134" s="179" t="str">
        <f>'HỢP ĐỒNG'!D140</f>
        <v>PCE</v>
      </c>
      <c r="D134" s="180">
        <f>'HỢP ĐỒNG'!E140</f>
        <v>10000</v>
      </c>
      <c r="E134" s="304" t="str">
        <f t="shared" si="1"/>
        <v xml:space="preserve"> PCE / Kiện</v>
      </c>
      <c r="F134" s="395">
        <v>28</v>
      </c>
      <c r="G134" s="395">
        <v>105</v>
      </c>
      <c r="H134" s="364">
        <v>120</v>
      </c>
      <c r="I134" s="276"/>
      <c r="J134" s="220"/>
      <c r="K134" s="277"/>
      <c r="L134" s="278"/>
      <c r="S134" s="220" t="e">
        <f>SUM(#REF!)</f>
        <v>#REF!</v>
      </c>
    </row>
    <row r="135" spans="1:19" s="68" customFormat="1" ht="60.75" customHeight="1">
      <c r="A135" s="173">
        <f>'HỢP ĐỒNG'!A141</f>
        <v>123</v>
      </c>
      <c r="B135" s="178" t="str">
        <f>'HỢP ĐỒNG'!C141</f>
        <v>Giấy gói hoa dạng giấy nhún, được làm từ bột gỗ xenlulo, đã nhuộm màu bề mặt, dạng tấm, KT: (50*230)cm+/-10%, không hiệu. Nsx: Jiangxi Yuanna Packaging Material Co., Ltd. Mới 100%</v>
      </c>
      <c r="C135" s="179" t="str">
        <f>'HỢP ĐỒNG'!D141</f>
        <v>KGM</v>
      </c>
      <c r="D135" s="180">
        <f>'HỢP ĐỒNG'!E141</f>
        <v>398</v>
      </c>
      <c r="E135" s="304" t="str">
        <f t="shared" ref="E135:E136" si="2">IF(C135="Kg",IF(I135&lt;D135,I135&amp;" "&amp;C135&amp;" "&amp;"/ Kiện",I135&amp;" "&amp;C135&amp;" "&amp;"/ "&amp;F135&amp;" Kiện"),IF(AND(D135=I135),I135&amp;" "&amp;C135&amp;" "&amp;"/ "&amp;F135&amp;" Kiện",I135&amp;" "&amp;C135&amp;" "&amp;"/ Kiện"))</f>
        <v xml:space="preserve"> KGM / Kiện</v>
      </c>
      <c r="F135" s="395">
        <v>10</v>
      </c>
      <c r="G135" s="395">
        <v>398</v>
      </c>
      <c r="H135" s="364">
        <v>418</v>
      </c>
      <c r="I135" s="276"/>
      <c r="J135" s="220"/>
      <c r="K135" s="277"/>
      <c r="L135" s="278"/>
      <c r="S135" s="220"/>
    </row>
    <row r="136" spans="1:19" s="68" customFormat="1" ht="60.75" customHeight="1">
      <c r="A136" s="173">
        <f>'HỢP ĐỒNG'!A142</f>
        <v>124</v>
      </c>
      <c r="B136" s="178" t="str">
        <f>'HỢP ĐỒNG'!C142</f>
        <v>Máy phun sơn tĩnh điện dùng để phun sơn hoàn thiện bề mặt các sản phẩm bằng kim loại,kèm khung đỡ có bánh xe.Model:FlexiSpray F1,điện áp:AC100-240,CS: 50W. NSX: Foshan Debelle Technology,mới 100%</v>
      </c>
      <c r="C136" s="179" t="str">
        <f>'HỢP ĐỒNG'!D142</f>
        <v>PCE</v>
      </c>
      <c r="D136" s="180">
        <f>'HỢP ĐỒNG'!E142</f>
        <v>2</v>
      </c>
      <c r="E136" s="304" t="str">
        <f t="shared" si="2"/>
        <v xml:space="preserve"> PCE / Kiện</v>
      </c>
      <c r="F136" s="395">
        <v>1</v>
      </c>
      <c r="G136" s="395">
        <v>101</v>
      </c>
      <c r="H136" s="364">
        <v>102</v>
      </c>
      <c r="I136" s="276"/>
      <c r="J136" s="220"/>
      <c r="K136" s="277"/>
      <c r="L136" s="278"/>
      <c r="S136" s="220"/>
    </row>
    <row r="137" spans="1:19" s="147" customFormat="1" ht="60.75" customHeight="1">
      <c r="A137" s="143"/>
      <c r="B137" s="144"/>
      <c r="C137" s="145"/>
      <c r="D137" s="146"/>
      <c r="E137" s="392"/>
      <c r="F137" s="394"/>
      <c r="G137" s="393">
        <f>SUM(G13:G136)</f>
        <v>29018</v>
      </c>
      <c r="H137" s="307">
        <f>SUM(H13:H136)</f>
        <v>31304.400000000001</v>
      </c>
      <c r="I137" s="279"/>
      <c r="J137" s="270"/>
      <c r="K137" s="271"/>
      <c r="L137" s="201"/>
    </row>
    <row r="138" spans="1:19" s="10" customFormat="1" ht="19.5" customHeight="1">
      <c r="A138" s="101"/>
      <c r="B138" s="102"/>
      <c r="C138" s="103"/>
      <c r="D138" s="104"/>
      <c r="E138" s="103"/>
      <c r="F138" s="364"/>
      <c r="G138" s="212"/>
      <c r="H138" s="212"/>
      <c r="I138" s="11"/>
      <c r="J138" s="105"/>
      <c r="K138" s="138"/>
      <c r="L138" s="202"/>
    </row>
    <row r="139" spans="1:19">
      <c r="B139" s="106" t="str">
        <f>"Trọng lượng tịnh:   "&amp;FIXED(LEFT(G137,9),2)&amp;" kg"</f>
        <v>Trọng lượng tịnh:   29,018.00 kg</v>
      </c>
      <c r="D139" s="64"/>
      <c r="I139" s="434"/>
      <c r="J139" s="434"/>
      <c r="K139" s="434"/>
      <c r="L139" s="434"/>
      <c r="M139" s="434"/>
    </row>
    <row r="140" spans="1:19">
      <c r="B140" s="106" t="str">
        <f>"Tổng trọng lượng cả bì:    "&amp;FIXED(LEFT(H137,9),2)&amp;" kg"</f>
        <v>Tổng trọng lượng cả bì:    31,304.40 kg</v>
      </c>
      <c r="D140" s="64"/>
      <c r="H140" s="338"/>
      <c r="K140" s="139"/>
    </row>
    <row r="141" spans="1:19" s="13" customFormat="1" ht="15">
      <c r="B141" s="299"/>
      <c r="D141" s="300"/>
      <c r="F141" s="283"/>
      <c r="G141" s="283"/>
      <c r="H141" s="352"/>
      <c r="I141" s="76"/>
      <c r="J141" s="75"/>
      <c r="K141" s="140"/>
      <c r="L141" s="200"/>
    </row>
    <row r="142" spans="1:19" s="13" customFormat="1" ht="15">
      <c r="B142" s="299"/>
      <c r="D142" s="300"/>
      <c r="F142" s="283"/>
      <c r="G142" s="283"/>
      <c r="H142" s="352"/>
      <c r="I142" s="14"/>
      <c r="K142" s="78"/>
      <c r="L142" s="200"/>
    </row>
    <row r="143" spans="1:19" s="13" customFormat="1" ht="15">
      <c r="A143" s="33"/>
      <c r="B143" s="34"/>
      <c r="C143" s="35"/>
      <c r="F143" s="283"/>
      <c r="G143" s="283"/>
      <c r="H143" s="37"/>
      <c r="I143" s="14"/>
      <c r="J143" s="79"/>
      <c r="K143" s="78"/>
      <c r="L143" s="200"/>
    </row>
    <row r="144" spans="1:19" s="13" customFormat="1" ht="15">
      <c r="B144" s="301"/>
      <c r="F144" s="283"/>
      <c r="G144" s="283"/>
      <c r="H144" s="37"/>
      <c r="I144" s="14"/>
      <c r="J144" s="79"/>
      <c r="K144" s="78"/>
      <c r="L144" s="200"/>
    </row>
    <row r="145" spans="10:10">
      <c r="J145" s="80"/>
    </row>
  </sheetData>
  <autoFilter ref="A12:I141" xr:uid="{34005FBE-99EC-4133-8D63-699DF2CDF81A}"/>
  <mergeCells count="79">
    <mergeCell ref="G57:G63"/>
    <mergeCell ref="G65:G66"/>
    <mergeCell ref="G67:G68"/>
    <mergeCell ref="G70:G72"/>
    <mergeCell ref="G75:G76"/>
    <mergeCell ref="G32:G34"/>
    <mergeCell ref="G36:G37"/>
    <mergeCell ref="G39:G41"/>
    <mergeCell ref="G42:G43"/>
    <mergeCell ref="G45:G49"/>
    <mergeCell ref="F57:F63"/>
    <mergeCell ref="F65:F66"/>
    <mergeCell ref="F67:F68"/>
    <mergeCell ref="F70:F72"/>
    <mergeCell ref="F75:F76"/>
    <mergeCell ref="F32:F34"/>
    <mergeCell ref="F36:F37"/>
    <mergeCell ref="F39:F41"/>
    <mergeCell ref="F42:F43"/>
    <mergeCell ref="F45:F49"/>
    <mergeCell ref="H113:H127"/>
    <mergeCell ref="H128:H129"/>
    <mergeCell ref="H132:H133"/>
    <mergeCell ref="F109:F111"/>
    <mergeCell ref="G109:G111"/>
    <mergeCell ref="H109:H111"/>
    <mergeCell ref="F113:F127"/>
    <mergeCell ref="F128:F129"/>
    <mergeCell ref="F132:F133"/>
    <mergeCell ref="G113:G127"/>
    <mergeCell ref="G128:G129"/>
    <mergeCell ref="G132:G133"/>
    <mergeCell ref="F105:F107"/>
    <mergeCell ref="G105:G107"/>
    <mergeCell ref="H105:H107"/>
    <mergeCell ref="F96:F101"/>
    <mergeCell ref="G96:G101"/>
    <mergeCell ref="H96:H101"/>
    <mergeCell ref="H89:H91"/>
    <mergeCell ref="F77:F80"/>
    <mergeCell ref="G77:G80"/>
    <mergeCell ref="H77:H80"/>
    <mergeCell ref="F81:F82"/>
    <mergeCell ref="F83:F84"/>
    <mergeCell ref="F89:F91"/>
    <mergeCell ref="G81:G82"/>
    <mergeCell ref="G83:G84"/>
    <mergeCell ref="G89:G91"/>
    <mergeCell ref="H14:H16"/>
    <mergeCell ref="H17:H23"/>
    <mergeCell ref="H24:H31"/>
    <mergeCell ref="H81:H82"/>
    <mergeCell ref="H83:H84"/>
    <mergeCell ref="H32:H34"/>
    <mergeCell ref="H36:H37"/>
    <mergeCell ref="H39:H41"/>
    <mergeCell ref="H42:H43"/>
    <mergeCell ref="H45:H49"/>
    <mergeCell ref="H57:H63"/>
    <mergeCell ref="H65:H66"/>
    <mergeCell ref="H67:H68"/>
    <mergeCell ref="H70:H72"/>
    <mergeCell ref="H75:H76"/>
    <mergeCell ref="I139:M139"/>
    <mergeCell ref="A10:F10"/>
    <mergeCell ref="A1:H1"/>
    <mergeCell ref="A2:H2"/>
    <mergeCell ref="A4:H4"/>
    <mergeCell ref="A3:E3"/>
    <mergeCell ref="A9:H9"/>
    <mergeCell ref="F52:F54"/>
    <mergeCell ref="G52:G54"/>
    <mergeCell ref="H52:H54"/>
    <mergeCell ref="F14:F16"/>
    <mergeCell ref="F17:F23"/>
    <mergeCell ref="F24:F31"/>
    <mergeCell ref="G14:G16"/>
    <mergeCell ref="G17:G23"/>
    <mergeCell ref="G24:G31"/>
  </mergeCells>
  <phoneticPr fontId="9" type="noConversion"/>
  <pageMargins left="0.7" right="0.7" top="0.75" bottom="0.75" header="0.3" footer="0.3"/>
  <pageSetup paperSize="9" scale="73" orientation="portrait" blackAndWhite="1" r:id="rId1"/>
  <headerFooter alignWithMargins="0"/>
  <rowBreaks count="3" manualBreakCount="3">
    <brk id="93" max="7" man="1"/>
    <brk id="110" max="7" man="1"/>
    <brk id="127" max="7"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91C17-9BE1-4497-95C4-7C4D85656742}">
  <sheetPr codeName="Sheet5"/>
  <dimension ref="A1:Z125"/>
  <sheetViews>
    <sheetView topLeftCell="A11" zoomScale="90" zoomScaleNormal="90" workbookViewId="0">
      <selection activeCell="C23" sqref="C23"/>
    </sheetView>
  </sheetViews>
  <sheetFormatPr defaultRowHeight="15"/>
  <cols>
    <col min="1" max="1" width="9.28515625" style="27" customWidth="1"/>
    <col min="2" max="2" width="6.140625" style="27" customWidth="1"/>
    <col min="3" max="3" width="73" style="194" customWidth="1"/>
    <col min="4" max="4" width="14.42578125" style="27" customWidth="1"/>
    <col min="5" max="10" width="12" style="27" customWidth="1"/>
    <col min="11" max="11" width="12" style="28" customWidth="1"/>
    <col min="12" max="13" width="12" style="27" customWidth="1"/>
    <col min="14" max="14" width="9" style="27" customWidth="1"/>
    <col min="15" max="15" width="9.85546875" style="27" customWidth="1"/>
    <col min="16" max="16" width="10" style="27" customWidth="1"/>
    <col min="17" max="17" width="9.7109375" style="27" customWidth="1"/>
    <col min="18" max="18" width="9.140625" style="27"/>
    <col min="19" max="19" width="9.5703125" style="27" customWidth="1"/>
    <col min="20" max="20" width="10.85546875" style="27" customWidth="1"/>
    <col min="21" max="21" width="11.5703125" style="27" customWidth="1"/>
    <col min="22" max="26" width="9" style="27" customWidth="1"/>
    <col min="27" max="16384" width="9.140625" style="27"/>
  </cols>
  <sheetData>
    <row r="1" spans="1:26" s="18" customFormat="1" ht="85.5">
      <c r="A1" s="15" t="s">
        <v>6</v>
      </c>
      <c r="B1" s="15" t="s">
        <v>7</v>
      </c>
      <c r="C1" s="15" t="s">
        <v>8</v>
      </c>
      <c r="D1" s="15" t="s">
        <v>9</v>
      </c>
      <c r="E1" s="15" t="s">
        <v>10</v>
      </c>
      <c r="F1" s="15" t="s">
        <v>77</v>
      </c>
      <c r="G1" s="15" t="s">
        <v>11</v>
      </c>
      <c r="H1" s="15" t="s">
        <v>78</v>
      </c>
      <c r="I1" s="15" t="s">
        <v>79</v>
      </c>
      <c r="J1" s="15" t="s">
        <v>12</v>
      </c>
      <c r="K1" s="16" t="s">
        <v>13</v>
      </c>
      <c r="L1" s="15" t="s">
        <v>14</v>
      </c>
      <c r="M1" s="15" t="s">
        <v>15</v>
      </c>
      <c r="N1" s="15" t="s">
        <v>16</v>
      </c>
      <c r="O1" s="15" t="s">
        <v>17</v>
      </c>
      <c r="P1" s="15" t="s">
        <v>18</v>
      </c>
      <c r="Q1" s="15" t="s">
        <v>19</v>
      </c>
      <c r="R1" s="15" t="s">
        <v>20</v>
      </c>
      <c r="S1" s="15" t="s">
        <v>21</v>
      </c>
      <c r="T1" s="15" t="s">
        <v>22</v>
      </c>
      <c r="U1" s="15" t="s">
        <v>23</v>
      </c>
      <c r="V1" s="15" t="s">
        <v>24</v>
      </c>
      <c r="W1" s="15" t="s">
        <v>25</v>
      </c>
      <c r="X1" s="15" t="s">
        <v>26</v>
      </c>
      <c r="Y1" s="17"/>
      <c r="Z1" s="17" t="s">
        <v>125</v>
      </c>
    </row>
    <row r="2" spans="1:26" ht="30">
      <c r="A2" s="19">
        <f>'HỢP ĐỒNG'!A19</f>
        <v>1</v>
      </c>
      <c r="B2" s="19" t="s">
        <v>27</v>
      </c>
      <c r="C2" s="20" t="str">
        <f>'HỢP ĐỒNG'!C19</f>
        <v>Khăn lau bụi dùng để lau xe hơi, chất liệu vải dệt kim từ sợi polyester, KT:(30*30)cm, không hiệu, NSX: Qingdao Tao Hui Industrial. Mới 100%</v>
      </c>
      <c r="D2" s="21">
        <f>'HỢP ĐỒNG'!I19</f>
        <v>63071090</v>
      </c>
      <c r="E2" s="22" t="s">
        <v>73</v>
      </c>
      <c r="F2" s="23">
        <f>'HỢP ĐỒNG'!E19</f>
        <v>20000</v>
      </c>
      <c r="G2" s="396" t="str">
        <f>'INVOICE lam CO'!D15</f>
        <v>PCE</v>
      </c>
      <c r="H2" s="397">
        <v>280</v>
      </c>
      <c r="I2" s="399" t="s">
        <v>80</v>
      </c>
      <c r="J2" s="404">
        <f>'HỢP ĐỒNG'!F19</f>
        <v>9.4E-2</v>
      </c>
      <c r="K2" s="24"/>
      <c r="L2" s="25"/>
      <c r="M2" s="26" t="s">
        <v>97</v>
      </c>
      <c r="Y2" s="27" t="str">
        <f>IF(Z2=8%,"VB245",IF(Z2=10%,"VB901",IF(Z2=5%,"VB185","")))</f>
        <v>VB245</v>
      </c>
      <c r="Z2" s="206">
        <f>'HỢP ĐỒNG'!P19</f>
        <v>0.08</v>
      </c>
    </row>
    <row r="3" spans="1:26" ht="45">
      <c r="A3" s="19">
        <f>'HỢP ĐỒNG'!A20</f>
        <v>2</v>
      </c>
      <c r="B3" s="19" t="s">
        <v>27</v>
      </c>
      <c r="C3" s="20" t="str">
        <f>'HỢP ĐỒNG'!C20</f>
        <v>Bộ ấm chén pha trà bằng gốm đất nung tráng men rạn Nhữ Diêu,gồm ấm trà dung tích 250ml,chén khải 190ml và chén uống trà 50ml, đóng hộp quà tặng, không hiệu. NSX: Shenzhen Tao Hui Industrial. Mới 100%</v>
      </c>
      <c r="D3" s="21">
        <f>'HỢP ĐỒNG'!I20</f>
        <v>69120000</v>
      </c>
      <c r="E3" s="22" t="s">
        <v>73</v>
      </c>
      <c r="F3" s="23">
        <f>'HỢP ĐỒNG'!E20</f>
        <v>20</v>
      </c>
      <c r="G3" s="396" t="str">
        <f>'INVOICE lam CO'!D16</f>
        <v>SET</v>
      </c>
      <c r="H3" s="397">
        <v>20</v>
      </c>
      <c r="I3" s="399" t="s">
        <v>154</v>
      </c>
      <c r="J3" s="404">
        <f>'HỢP ĐỒNG'!F20</f>
        <v>5.16</v>
      </c>
      <c r="K3" s="24"/>
      <c r="L3" s="25"/>
      <c r="M3" s="26" t="s">
        <v>97</v>
      </c>
      <c r="Y3" s="27" t="str">
        <f t="shared" ref="Y3:Y66" si="0">IF(Z3=8%,"VB245",IF(Z3=10%,"VB901",IF(Z3=5%,"VB185","")))</f>
        <v>VB245</v>
      </c>
      <c r="Z3" s="206">
        <f>'HỢP ĐỒNG'!P20</f>
        <v>0.08</v>
      </c>
    </row>
    <row r="4" spans="1:26" ht="45">
      <c r="A4" s="19">
        <f>'HỢP ĐỒNG'!A21</f>
        <v>3</v>
      </c>
      <c r="B4" s="19" t="s">
        <v>27</v>
      </c>
      <c r="C4" s="20" t="str">
        <f>'HỢP ĐỒNG'!C21</f>
        <v>Bộ ấm chén pha trà du lịch bằng gốm đất nung tráng men trắng, dáng Tây Thi họa tiết Núi Non, gồm ấm trà dung tích 270ml, tống trà 150ml, chén trà 50ml,đóng hộp quà tặng, không hiệu, Mới 100%</v>
      </c>
      <c r="D4" s="21">
        <f>'HỢP ĐỒNG'!I21</f>
        <v>69120000</v>
      </c>
      <c r="E4" s="22" t="s">
        <v>73</v>
      </c>
      <c r="F4" s="23">
        <f>'HỢP ĐỒNG'!E21</f>
        <v>20</v>
      </c>
      <c r="G4" s="396" t="str">
        <f>'INVOICE lam CO'!D17</f>
        <v>SET</v>
      </c>
      <c r="H4" s="397">
        <v>20</v>
      </c>
      <c r="I4" s="399" t="s">
        <v>154</v>
      </c>
      <c r="J4" s="404">
        <f>'HỢP ĐỒNG'!F21</f>
        <v>4.09</v>
      </c>
      <c r="K4" s="24"/>
      <c r="L4" s="25"/>
      <c r="M4" s="26" t="s">
        <v>97</v>
      </c>
      <c r="Y4" s="27" t="str">
        <f t="shared" si="0"/>
        <v>VB245</v>
      </c>
      <c r="Z4" s="206">
        <f>'HỢP ĐỒNG'!P21</f>
        <v>0.08</v>
      </c>
    </row>
    <row r="5" spans="1:26" ht="45">
      <c r="A5" s="19">
        <f>'HỢP ĐỒNG'!A22</f>
        <v>4</v>
      </c>
      <c r="B5" s="19" t="s">
        <v>27</v>
      </c>
      <c r="C5" s="20" t="str">
        <f>'HỢP ĐỒNG'!C22</f>
        <v>Bộ ấm chén trà bằng gốm đất nung, kiểu dáng Nhật gồm 1 ấm 200ml và 4 chén 60ml kèm hộp quà tặng, không hiệu, NSX: Shenzhen Tao Hui Industrial Co., Ltd., Mới 100%</v>
      </c>
      <c r="D5" s="21">
        <f>'HỢP ĐỒNG'!I22</f>
        <v>69120000</v>
      </c>
      <c r="E5" s="22" t="s">
        <v>73</v>
      </c>
      <c r="F5" s="23">
        <f>'HỢP ĐỒNG'!E22</f>
        <v>50</v>
      </c>
      <c r="G5" s="396" t="str">
        <f>'INVOICE lam CO'!D18</f>
        <v>SET</v>
      </c>
      <c r="H5" s="397">
        <v>50</v>
      </c>
      <c r="I5" s="399" t="s">
        <v>154</v>
      </c>
      <c r="J5" s="404">
        <f>'HỢP ĐỒNG'!F22</f>
        <v>5.69</v>
      </c>
      <c r="K5" s="24"/>
      <c r="L5" s="25"/>
      <c r="M5" s="26" t="s">
        <v>97</v>
      </c>
      <c r="Y5" s="27" t="str">
        <f t="shared" si="0"/>
        <v>VB245</v>
      </c>
      <c r="Z5" s="206">
        <f>'HỢP ĐỒNG'!P22</f>
        <v>0.08</v>
      </c>
    </row>
    <row r="6" spans="1:26" ht="45">
      <c r="A6" s="19">
        <f>'HỢP ĐỒNG'!A23</f>
        <v>5</v>
      </c>
      <c r="B6" s="19" t="s">
        <v>27</v>
      </c>
      <c r="C6" s="20" t="str">
        <f>'HỢP ĐỒNG'!C23</f>
        <v>Ấm pha trà bằng gốm đất nung không tráng men (Tử Sa) dáng Hán Ngõa, màu xanh Lục Nê, dung tích 240ml, không dùng điện, không hiệu, NSX: Shenzhen Tao Hui Industrial Co., Ltd., Mới 100%</v>
      </c>
      <c r="D6" s="21">
        <f>'HỢP ĐỒNG'!I23</f>
        <v>69120000</v>
      </c>
      <c r="E6" s="22" t="s">
        <v>73</v>
      </c>
      <c r="F6" s="23">
        <f>'HỢP ĐỒNG'!E23</f>
        <v>10</v>
      </c>
      <c r="G6" s="396" t="str">
        <f>'INVOICE lam CO'!D19</f>
        <v>PCE</v>
      </c>
      <c r="H6" s="397">
        <v>10</v>
      </c>
      <c r="I6" s="399" t="s">
        <v>143</v>
      </c>
      <c r="J6" s="404">
        <f>'HỢP ĐỒNG'!F23</f>
        <v>13.6</v>
      </c>
      <c r="K6" s="24"/>
      <c r="L6" s="25"/>
      <c r="M6" s="26" t="s">
        <v>97</v>
      </c>
      <c r="Y6" s="27" t="str">
        <f t="shared" si="0"/>
        <v>VB245</v>
      </c>
      <c r="Z6" s="206">
        <f>'HỢP ĐỒNG'!P23</f>
        <v>0.08</v>
      </c>
    </row>
    <row r="7" spans="1:26" ht="45">
      <c r="A7" s="19">
        <f>'HỢP ĐỒNG'!A24</f>
        <v>6</v>
      </c>
      <c r="B7" s="19" t="s">
        <v>27</v>
      </c>
      <c r="C7" s="20" t="str">
        <f>'HỢP ĐỒNG'!C24</f>
        <v>Ấm pha trà bằng gốm đất nung không tráng men (Tử Sa) dáng Tây Thi, màu đỏ Đại Hồng Bào, dung tích 240ml, không dùng điện, không hiệu, NSX: Shenzhen Tao Hui Industrial Co., Ltd., Mới 100%</v>
      </c>
      <c r="D7" s="21">
        <f>'HỢP ĐỒNG'!I24</f>
        <v>69120000</v>
      </c>
      <c r="E7" s="22" t="s">
        <v>73</v>
      </c>
      <c r="F7" s="23">
        <f>'HỢP ĐỒNG'!E24</f>
        <v>15</v>
      </c>
      <c r="G7" s="396" t="str">
        <f>'INVOICE lam CO'!D20</f>
        <v>PCE</v>
      </c>
      <c r="H7" s="397">
        <v>15</v>
      </c>
      <c r="I7" s="399" t="s">
        <v>143</v>
      </c>
      <c r="J7" s="404">
        <f>'HỢP ĐỒNG'!F24</f>
        <v>10.46</v>
      </c>
      <c r="K7" s="24"/>
      <c r="L7" s="25"/>
      <c r="M7" s="26" t="s">
        <v>97</v>
      </c>
      <c r="Y7" s="27" t="str">
        <f t="shared" si="0"/>
        <v>VB245</v>
      </c>
      <c r="Z7" s="206">
        <f>'HỢP ĐỒNG'!P24</f>
        <v>0.08</v>
      </c>
    </row>
    <row r="8" spans="1:26" ht="45">
      <c r="A8" s="19">
        <f>'HỢP ĐỒNG'!A25</f>
        <v>7</v>
      </c>
      <c r="B8" s="19" t="s">
        <v>27</v>
      </c>
      <c r="C8" s="20" t="str">
        <f>'HỢP ĐỒNG'!C25</f>
        <v>Cốc uống trà bằng gốm đất nung không tráng men (Tử Sa) họa tiết Thiên Hương, dung tích 180ml, không hiệu, NSX: Shenzhen Tao Hui Industrial Co., Ltd., Mới 100%</v>
      </c>
      <c r="D8" s="21">
        <f>'HỢP ĐỒNG'!I25</f>
        <v>69120000</v>
      </c>
      <c r="E8" s="22" t="s">
        <v>73</v>
      </c>
      <c r="F8" s="23">
        <f>'HỢP ĐỒNG'!E25</f>
        <v>20</v>
      </c>
      <c r="G8" s="396" t="str">
        <f>'INVOICE lam CO'!D21</f>
        <v>PCE</v>
      </c>
      <c r="H8" s="397">
        <v>20</v>
      </c>
      <c r="I8" s="399" t="s">
        <v>143</v>
      </c>
      <c r="J8" s="404">
        <f>'HỢP ĐỒNG'!F25</f>
        <v>4.49</v>
      </c>
      <c r="K8" s="24"/>
      <c r="L8" s="25"/>
      <c r="M8" s="26" t="s">
        <v>97</v>
      </c>
      <c r="Y8" s="27" t="str">
        <f t="shared" si="0"/>
        <v>VB245</v>
      </c>
      <c r="Z8" s="206">
        <f>'HỢP ĐỒNG'!P25</f>
        <v>0.08</v>
      </c>
    </row>
    <row r="9" spans="1:26" ht="45">
      <c r="A9" s="19">
        <f>'HỢP ĐỒNG'!A26</f>
        <v>8</v>
      </c>
      <c r="B9" s="19" t="s">
        <v>27</v>
      </c>
      <c r="C9" s="20" t="str">
        <f>'HỢP ĐỒNG'!C26</f>
        <v>Ấm pha trà bằng gốm đất nung không tráng men (Tử Sa) dáng Bát Phương Nung Củi, màu vàng Đoạn Nê, dung tích 270ml, không dùng điện, không hiệu, NSX: Shenzhen Tao Hui Industrial Co., Ltd., Mới 100%</v>
      </c>
      <c r="D9" s="21">
        <f>'HỢP ĐỒNG'!I26</f>
        <v>69120000</v>
      </c>
      <c r="E9" s="22" t="s">
        <v>73</v>
      </c>
      <c r="F9" s="23">
        <f>'HỢP ĐỒNG'!E26</f>
        <v>10</v>
      </c>
      <c r="G9" s="396" t="str">
        <f>'INVOICE lam CO'!D22</f>
        <v>PCE</v>
      </c>
      <c r="H9" s="397">
        <v>10</v>
      </c>
      <c r="I9" s="399" t="s">
        <v>143</v>
      </c>
      <c r="J9" s="404">
        <f>'HỢP ĐỒNG'!F26</f>
        <v>16.739999999999998</v>
      </c>
      <c r="K9" s="24"/>
      <c r="L9" s="25"/>
      <c r="M9" s="26" t="s">
        <v>97</v>
      </c>
      <c r="Y9" s="27" t="str">
        <f t="shared" si="0"/>
        <v>VB245</v>
      </c>
      <c r="Z9" s="206">
        <f>'HỢP ĐỒNG'!P26</f>
        <v>0.08</v>
      </c>
    </row>
    <row r="10" spans="1:26" ht="45">
      <c r="A10" s="19">
        <f>'HỢP ĐỒNG'!A27</f>
        <v>9</v>
      </c>
      <c r="B10" s="19" t="s">
        <v>27</v>
      </c>
      <c r="C10" s="20" t="str">
        <f>'HỢP ĐỒNG'!C27</f>
        <v>Ấm pha trà bằng gốm đất nung không tráng men (Tử Sa) dáng Thạch Biều, màu xanh Lục Nê, dung tích 260ml, không dùng điện, không hiệu, NSX: Shenzhen Tao Hui Industrial Co., Ltd., Mới 100%</v>
      </c>
      <c r="D10" s="21">
        <f>'HỢP ĐỒNG'!I27</f>
        <v>69120000</v>
      </c>
      <c r="E10" s="22" t="s">
        <v>73</v>
      </c>
      <c r="F10" s="23">
        <f>'HỢP ĐỒNG'!E27</f>
        <v>5</v>
      </c>
      <c r="G10" s="396" t="str">
        <f>'INVOICE lam CO'!D23</f>
        <v>PCE</v>
      </c>
      <c r="H10" s="397">
        <v>5</v>
      </c>
      <c r="I10" s="399" t="s">
        <v>143</v>
      </c>
      <c r="J10" s="404">
        <f>'HỢP ĐỒNG'!F27</f>
        <v>15.69</v>
      </c>
      <c r="K10" s="24"/>
      <c r="L10" s="25"/>
      <c r="M10" s="26" t="s">
        <v>97</v>
      </c>
      <c r="Y10" s="27" t="str">
        <f t="shared" si="0"/>
        <v>VB245</v>
      </c>
      <c r="Z10" s="206">
        <f>'HỢP ĐỒNG'!P27</f>
        <v>0.08</v>
      </c>
    </row>
    <row r="11" spans="1:26" ht="45">
      <c r="A11" s="19">
        <f>'HỢP ĐỒNG'!A28</f>
        <v>10</v>
      </c>
      <c r="B11" s="19" t="s">
        <v>27</v>
      </c>
      <c r="C11" s="20" t="str">
        <f>'HỢP ĐỒNG'!C28</f>
        <v>Ấm pha trà bằng gốm đất nung không tráng men (Tử Sa) dáng Vân Lư, màu nâu Thiết Huyết Hồng Sa, dung tích 260ml, không dùng điện, không hiệu, NSX: Shenzhen Tao Hui Industrial Co., Ltd., Mới 100%</v>
      </c>
      <c r="D11" s="21">
        <f>'HỢP ĐỒNG'!I28</f>
        <v>69120000</v>
      </c>
      <c r="E11" s="22" t="s">
        <v>73</v>
      </c>
      <c r="F11" s="23">
        <f>'HỢP ĐỒNG'!E28</f>
        <v>10</v>
      </c>
      <c r="G11" s="396" t="str">
        <f>'INVOICE lam CO'!D24</f>
        <v>PCE</v>
      </c>
      <c r="H11" s="397">
        <v>10</v>
      </c>
      <c r="I11" s="399" t="s">
        <v>143</v>
      </c>
      <c r="J11" s="404">
        <f>'HỢP ĐỒNG'!F28</f>
        <v>17.09</v>
      </c>
      <c r="K11" s="24"/>
      <c r="L11" s="25"/>
      <c r="M11" s="26" t="s">
        <v>97</v>
      </c>
      <c r="Y11" s="27" t="str">
        <f t="shared" si="0"/>
        <v>VB245</v>
      </c>
      <c r="Z11" s="206">
        <f>'HỢP ĐỒNG'!P28</f>
        <v>0.08</v>
      </c>
    </row>
    <row r="12" spans="1:26" ht="45">
      <c r="A12" s="19">
        <f>'HỢP ĐỒNG'!A29</f>
        <v>11</v>
      </c>
      <c r="B12" s="19" t="s">
        <v>27</v>
      </c>
      <c r="C12" s="20" t="str">
        <f>'HỢP ĐỒNG'!C29</f>
        <v>Ấm pha trà bằng gốm đất nung không tráng men (Tử Sa) dáng Tứ Phương Liên Hoa dung tích 230ml, không dùng điện, không hiệu, NSX: Shenzhen Tao Hui Industrial Co., Ltd., Mới 100%</v>
      </c>
      <c r="D12" s="21">
        <f>'HỢP ĐỒNG'!I29</f>
        <v>69120000</v>
      </c>
      <c r="E12" s="22" t="s">
        <v>73</v>
      </c>
      <c r="F12" s="23">
        <f>'HỢP ĐỒNG'!E29</f>
        <v>10</v>
      </c>
      <c r="G12" s="396" t="str">
        <f>'INVOICE lam CO'!D25</f>
        <v>PCE</v>
      </c>
      <c r="H12" s="397">
        <v>10</v>
      </c>
      <c r="I12" s="399" t="s">
        <v>143</v>
      </c>
      <c r="J12" s="404">
        <f>'HỢP ĐỒNG'!F29</f>
        <v>14.47</v>
      </c>
      <c r="K12" s="24"/>
      <c r="L12" s="25"/>
      <c r="M12" s="26" t="s">
        <v>97</v>
      </c>
      <c r="Y12" s="27" t="str">
        <f t="shared" si="0"/>
        <v>VB245</v>
      </c>
      <c r="Z12" s="206">
        <f>'HỢP ĐỒNG'!P29</f>
        <v>0.08</v>
      </c>
    </row>
    <row r="13" spans="1:26" ht="45">
      <c r="A13" s="19">
        <f>'HỢP ĐỒNG'!A30</f>
        <v>12</v>
      </c>
      <c r="B13" s="19" t="s">
        <v>27</v>
      </c>
      <c r="C13" s="20" t="str">
        <f>'HỢP ĐỒNG'!C30</f>
        <v>Ấm pha trà bằng gốm đất nung không tráng men (Tử Sa) dáng Long Đán, màu nâu Tử Nê, dung tích 220ml, không dùng điện, không hiệu, NSX: Shenzhen Tao Hui Industrial Co., Ltd., Mới 100%</v>
      </c>
      <c r="D13" s="21">
        <f>'HỢP ĐỒNG'!I30</f>
        <v>69120000</v>
      </c>
      <c r="E13" s="22" t="s">
        <v>73</v>
      </c>
      <c r="F13" s="23">
        <f>'HỢP ĐỒNG'!E30</f>
        <v>3</v>
      </c>
      <c r="G13" s="396" t="str">
        <f>'INVOICE lam CO'!D26</f>
        <v>PCE</v>
      </c>
      <c r="H13" s="397">
        <v>3</v>
      </c>
      <c r="I13" s="399" t="s">
        <v>143</v>
      </c>
      <c r="J13" s="404">
        <f>'HỢP ĐỒNG'!F30</f>
        <v>20.46</v>
      </c>
      <c r="K13" s="24"/>
      <c r="L13" s="25"/>
      <c r="M13" s="26" t="s">
        <v>97</v>
      </c>
      <c r="Y13" s="27" t="str">
        <f t="shared" si="0"/>
        <v>VB245</v>
      </c>
      <c r="Z13" s="206">
        <f>'HỢP ĐỒNG'!P30</f>
        <v>0.08</v>
      </c>
    </row>
    <row r="14" spans="1:26" ht="45">
      <c r="A14" s="19">
        <f>'HỢP ĐỒNG'!A31</f>
        <v>13</v>
      </c>
      <c r="B14" s="19" t="s">
        <v>27</v>
      </c>
      <c r="C14" s="20" t="str">
        <f>'HỢP ĐỒNG'!C31</f>
        <v>Ấm pha trà bằng gốm đất nung không tráng men (Tử Sa) dáng Phan Hồ, màu đỏ Đại Hồng Bào, dung tích 250ml, không dùng điện, không hiệu, NSX: Shenzhen Tao Hui Industrial Co., Ltd., Mới 100%</v>
      </c>
      <c r="D14" s="21">
        <f>'HỢP ĐỒNG'!I31</f>
        <v>69120000</v>
      </c>
      <c r="E14" s="22" t="s">
        <v>73</v>
      </c>
      <c r="F14" s="23">
        <f>'HỢP ĐỒNG'!E31</f>
        <v>3</v>
      </c>
      <c r="G14" s="396" t="str">
        <f>'INVOICE lam CO'!D27</f>
        <v>PCE</v>
      </c>
      <c r="H14" s="397">
        <v>3</v>
      </c>
      <c r="I14" s="399" t="s">
        <v>143</v>
      </c>
      <c r="J14" s="404">
        <f>'HỢP ĐỒNG'!F31</f>
        <v>28.47</v>
      </c>
      <c r="K14" s="24"/>
      <c r="L14" s="25"/>
      <c r="M14" s="26" t="s">
        <v>97</v>
      </c>
      <c r="Y14" s="27" t="str">
        <f t="shared" si="0"/>
        <v>VB245</v>
      </c>
      <c r="Z14" s="206">
        <f>'HỢP ĐỒNG'!P31</f>
        <v>0.08</v>
      </c>
    </row>
    <row r="15" spans="1:26" ht="45">
      <c r="A15" s="19">
        <f>'HỢP ĐỒNG'!A32</f>
        <v>14</v>
      </c>
      <c r="B15" s="19" t="s">
        <v>27</v>
      </c>
      <c r="C15" s="20" t="str">
        <f>'HỢP ĐỒNG'!C32</f>
        <v>Ấm pha trà bằng gốm đất nung không tráng men (Tử Sa) dáng Tây Thi, dung tích 420ml, không dùng điện, không hiệu, NSX: Shenzhen Tao Hui Industrial Co., Ltd., Mới 100%</v>
      </c>
      <c r="D15" s="21">
        <f>'HỢP ĐỒNG'!I32</f>
        <v>69120000</v>
      </c>
      <c r="E15" s="22" t="s">
        <v>73</v>
      </c>
      <c r="F15" s="23">
        <f>'HỢP ĐỒNG'!E32</f>
        <v>5</v>
      </c>
      <c r="G15" s="396" t="str">
        <f>'INVOICE lam CO'!D28</f>
        <v>PCE</v>
      </c>
      <c r="H15" s="397">
        <v>5</v>
      </c>
      <c r="I15" s="399" t="s">
        <v>143</v>
      </c>
      <c r="J15" s="404">
        <f>'HỢP ĐỒNG'!F32</f>
        <v>39.15</v>
      </c>
      <c r="K15" s="24"/>
      <c r="L15" s="25"/>
      <c r="M15" s="26" t="s">
        <v>97</v>
      </c>
      <c r="Y15" s="27" t="str">
        <f t="shared" si="0"/>
        <v>VB245</v>
      </c>
      <c r="Z15" s="206">
        <f>'HỢP ĐỒNG'!P32</f>
        <v>0.08</v>
      </c>
    </row>
    <row r="16" spans="1:26" ht="47.25" customHeight="1">
      <c r="A16" s="19">
        <f>'HỢP ĐỒNG'!A33</f>
        <v>15</v>
      </c>
      <c r="B16" s="19" t="s">
        <v>27</v>
      </c>
      <c r="C16" s="20" t="str">
        <f>'HỢP ĐỒNG'!C33</f>
        <v>Khay để ấm trà (Thuyền Trà) bằng gốm đất nung không tráng men (Tử Sa) đường kính 19.5cm, họa tiết Sơn Cảnh, đóng hộp quà tặng, không hiệu, NSX: Shenzhen Tao Hui Industrial Co., Ltd., Mới 100%</v>
      </c>
      <c r="D16" s="21">
        <f>'HỢP ĐỒNG'!I33</f>
        <v>69120000</v>
      </c>
      <c r="E16" s="22" t="s">
        <v>73</v>
      </c>
      <c r="F16" s="23">
        <f>'HỢP ĐỒNG'!E33</f>
        <v>5</v>
      </c>
      <c r="G16" s="396" t="str">
        <f>'INVOICE lam CO'!D29</f>
        <v>PCE</v>
      </c>
      <c r="H16" s="397">
        <v>5</v>
      </c>
      <c r="I16" s="399" t="s">
        <v>143</v>
      </c>
      <c r="J16" s="404">
        <f>'HỢP ĐỒNG'!F33</f>
        <v>26.69</v>
      </c>
      <c r="K16" s="24"/>
      <c r="L16" s="25"/>
      <c r="M16" s="26" t="s">
        <v>97</v>
      </c>
      <c r="Y16" s="27" t="str">
        <f t="shared" si="0"/>
        <v>VB245</v>
      </c>
      <c r="Z16" s="206">
        <f>'HỢP ĐỒNG'!P33</f>
        <v>0.08</v>
      </c>
    </row>
    <row r="17" spans="1:26" ht="45">
      <c r="A17" s="19">
        <f>'HỢP ĐỒNG'!A34</f>
        <v>16</v>
      </c>
      <c r="B17" s="19" t="s">
        <v>27</v>
      </c>
      <c r="C17" s="20" t="str">
        <f>'HỢP ĐỒNG'!C34</f>
        <v>Ang trà ( bát tráng trà) bằng gốm đất nung không tráng men (Tử Sa), màu cam Chu Nê, họa tiết Tâm Kinh đường kính 27.8cm, không hiệu, NSX: Shenzhen Tao Hui Industrial Co., Ltd., Mới 100%</v>
      </c>
      <c r="D17" s="21">
        <f>'HỢP ĐỒNG'!I34</f>
        <v>69120000</v>
      </c>
      <c r="E17" s="22" t="s">
        <v>73</v>
      </c>
      <c r="F17" s="23">
        <f>'HỢP ĐỒNG'!E34</f>
        <v>5</v>
      </c>
      <c r="G17" s="396" t="str">
        <f>'INVOICE lam CO'!D30</f>
        <v>PCE</v>
      </c>
      <c r="H17" s="397">
        <v>5</v>
      </c>
      <c r="I17" s="399" t="s">
        <v>143</v>
      </c>
      <c r="J17" s="404">
        <f>'HỢP ĐỒNG'!F34</f>
        <v>24.02</v>
      </c>
      <c r="K17" s="24"/>
      <c r="L17" s="25"/>
      <c r="M17" s="26" t="s">
        <v>97</v>
      </c>
      <c r="Y17" s="27" t="str">
        <f t="shared" si="0"/>
        <v>VB245</v>
      </c>
      <c r="Z17" s="206">
        <f>'HỢP ĐỒNG'!P34</f>
        <v>0.08</v>
      </c>
    </row>
    <row r="18" spans="1:26" ht="45">
      <c r="A18" s="19">
        <f>'HỢP ĐỒNG'!A35</f>
        <v>17</v>
      </c>
      <c r="B18" s="19" t="s">
        <v>27</v>
      </c>
      <c r="C18" s="20" t="str">
        <f>'HỢP ĐỒNG'!C35</f>
        <v>Ấm pha trà bằng gốm đất nung không tráng men (Tử Sa) dáng Thạch Biều Cảnh Chu, màu nâu Tử Nê, dung tích 230ml, không dùng điện, không hiệu, NSX: Shenzhen Tao Hui Industrial Co., Ltd., Mới 100%</v>
      </c>
      <c r="D18" s="21">
        <f>'HỢP ĐỒNG'!I35</f>
        <v>69120000</v>
      </c>
      <c r="E18" s="22" t="s">
        <v>73</v>
      </c>
      <c r="F18" s="23">
        <f>'HỢP ĐỒNG'!E35</f>
        <v>5</v>
      </c>
      <c r="G18" s="396" t="str">
        <f>'INVOICE lam CO'!D31</f>
        <v>PCE</v>
      </c>
      <c r="H18" s="397">
        <v>5</v>
      </c>
      <c r="I18" s="399" t="s">
        <v>143</v>
      </c>
      <c r="J18" s="404">
        <f>'HỢP ĐỒNG'!F35</f>
        <v>53.38</v>
      </c>
      <c r="K18" s="24"/>
      <c r="L18" s="25"/>
      <c r="M18" s="26" t="s">
        <v>97</v>
      </c>
      <c r="Y18" s="27" t="str">
        <f t="shared" si="0"/>
        <v>VB245</v>
      </c>
      <c r="Z18" s="206">
        <f>'HỢP ĐỒNG'!P35</f>
        <v>0.08</v>
      </c>
    </row>
    <row r="19" spans="1:26" ht="45">
      <c r="A19" s="19">
        <f>'HỢP ĐỒNG'!A36</f>
        <v>18</v>
      </c>
      <c r="B19" s="19" t="s">
        <v>27</v>
      </c>
      <c r="C19" s="20" t="str">
        <f>'HỢP ĐỒNG'!C36</f>
        <v>Ấm pha trà bằng gốm đất nung không tráng men (Tử Sa) dáng Mỹ Nhân Kiên, màu đỏ Đại Hồng Bào, dung tích 190ml, không dùng điện, không hiệu, NSX: Shenzhen Tao Hui Industrial Co., Ltd., Mới 100%</v>
      </c>
      <c r="D19" s="21">
        <f>'HỢP ĐỒNG'!I36</f>
        <v>69120000</v>
      </c>
      <c r="E19" s="22" t="s">
        <v>73</v>
      </c>
      <c r="F19" s="23">
        <f>'HỢP ĐỒNG'!E36</f>
        <v>5</v>
      </c>
      <c r="G19" s="396" t="str">
        <f>'INVOICE lam CO'!D32</f>
        <v>PCE</v>
      </c>
      <c r="H19" s="397">
        <v>5</v>
      </c>
      <c r="I19" s="399" t="s">
        <v>143</v>
      </c>
      <c r="J19" s="404">
        <f>'HỢP ĐỒNG'!F36</f>
        <v>29.89</v>
      </c>
      <c r="K19" s="24"/>
      <c r="L19" s="25"/>
      <c r="M19" s="26" t="s">
        <v>97</v>
      </c>
      <c r="Y19" s="27" t="str">
        <f t="shared" si="0"/>
        <v>VB245</v>
      </c>
      <c r="Z19" s="206">
        <f>'HỢP ĐỒNG'!P36</f>
        <v>0.08</v>
      </c>
    </row>
    <row r="20" spans="1:26" ht="45">
      <c r="A20" s="19">
        <f>'HỢP ĐỒNG'!A37</f>
        <v>19</v>
      </c>
      <c r="B20" s="19" t="s">
        <v>27</v>
      </c>
      <c r="C20" s="20" t="str">
        <f>'HỢP ĐỒNG'!C37</f>
        <v>Ấm pha trà bằng gốm đất nung không tráng men (Tử Sa) dáng Tây Thi Song Sắc, dung tích 200ml, không dùng điện, không hiệu, NSX: Shenzhen Tao Hui Industrial Co., Ltd., Mới 100%</v>
      </c>
      <c r="D20" s="21">
        <f>'HỢP ĐỒNG'!I37</f>
        <v>69120000</v>
      </c>
      <c r="E20" s="22" t="s">
        <v>73</v>
      </c>
      <c r="F20" s="23">
        <f>'HỢP ĐỒNG'!E37</f>
        <v>3</v>
      </c>
      <c r="G20" s="396" t="str">
        <f>'INVOICE lam CO'!D33</f>
        <v>PCE</v>
      </c>
      <c r="H20" s="397">
        <v>3</v>
      </c>
      <c r="I20" s="399" t="s">
        <v>143</v>
      </c>
      <c r="J20" s="404">
        <f>'HỢP ĐỒNG'!F37</f>
        <v>32.03</v>
      </c>
      <c r="K20" s="24"/>
      <c r="L20" s="25"/>
      <c r="M20" s="26" t="s">
        <v>97</v>
      </c>
      <c r="Y20" s="27" t="str">
        <f t="shared" si="0"/>
        <v>VB245</v>
      </c>
      <c r="Z20" s="206">
        <f>'HỢP ĐỒNG'!P37</f>
        <v>0.08</v>
      </c>
    </row>
    <row r="21" spans="1:26" ht="45">
      <c r="A21" s="19">
        <f>'HỢP ĐỒNG'!A38</f>
        <v>20</v>
      </c>
      <c r="B21" s="19" t="s">
        <v>27</v>
      </c>
      <c r="C21" s="20" t="str">
        <f>'HỢP ĐỒNG'!C38</f>
        <v>Công tắc điều khiển dòng chảy, model: HFS-25, dùng cho công nghiệp đóng ngắt dòng điện 5A. KT: (10*7*5)cm+/-10%, đk: ren 1-3/4inch, đ/áp: 220V, hiệu: SUNSES, mới 100%</v>
      </c>
      <c r="D21" s="21">
        <f>'HỢP ĐỒNG'!I38</f>
        <v>85365096</v>
      </c>
      <c r="E21" s="22" t="s">
        <v>73</v>
      </c>
      <c r="F21" s="23">
        <f>'HỢP ĐỒNG'!E38</f>
        <v>500</v>
      </c>
      <c r="G21" s="396" t="str">
        <f>'INVOICE lam CO'!D34</f>
        <v>PCE</v>
      </c>
      <c r="H21" s="397">
        <v>500</v>
      </c>
      <c r="I21" s="399" t="s">
        <v>143</v>
      </c>
      <c r="J21" s="404">
        <f>'HỢP ĐỒNG'!F38</f>
        <v>5.47</v>
      </c>
      <c r="K21" s="24"/>
      <c r="L21" s="25"/>
      <c r="M21" s="26" t="s">
        <v>97</v>
      </c>
      <c r="Y21" s="27" t="str">
        <f t="shared" si="0"/>
        <v>VB245</v>
      </c>
      <c r="Z21" s="206">
        <f>'HỢP ĐỒNG'!P38</f>
        <v>0.08</v>
      </c>
    </row>
    <row r="22" spans="1:26" ht="45">
      <c r="A22" s="19">
        <f>'HỢP ĐỒNG'!A39</f>
        <v>21</v>
      </c>
      <c r="B22" s="19" t="s">
        <v>27</v>
      </c>
      <c r="C22" s="20" t="str">
        <f>'HỢP ĐỒNG'!C39</f>
        <v>Công tắc áp suất khí nén KP, bằng nhựa kết hợp đồng, để điều chỉnh áp suất trong hệ thống khí nén, đ/áp: 220V/5A, không hiệu. NSX: Zhejiang Machinery Technology Co., LTD, mới 100%</v>
      </c>
      <c r="D22" s="21">
        <f>'HỢP ĐỒNG'!I39</f>
        <v>85365096</v>
      </c>
      <c r="E22" s="22" t="s">
        <v>73</v>
      </c>
      <c r="F22" s="23">
        <f>'HỢP ĐỒNG'!E39</f>
        <v>300</v>
      </c>
      <c r="G22" s="396" t="str">
        <f>'INVOICE lam CO'!D35</f>
        <v>PCE</v>
      </c>
      <c r="H22" s="397">
        <v>300</v>
      </c>
      <c r="I22" s="399" t="s">
        <v>143</v>
      </c>
      <c r="J22" s="404">
        <f>'HỢP ĐỒNG'!F39</f>
        <v>8.2899999999999991</v>
      </c>
      <c r="K22" s="24"/>
      <c r="L22" s="25"/>
      <c r="M22" s="26" t="s">
        <v>97</v>
      </c>
      <c r="Y22" s="27" t="str">
        <f t="shared" si="0"/>
        <v>VB245</v>
      </c>
      <c r="Z22" s="206">
        <f>'HỢP ĐỒNG'!P39</f>
        <v>0.08</v>
      </c>
    </row>
    <row r="23" spans="1:26" ht="45">
      <c r="A23" s="19">
        <f>'HỢP ĐỒNG'!A40</f>
        <v>22</v>
      </c>
      <c r="B23" s="19" t="s">
        <v>27</v>
      </c>
      <c r="C23" s="20" t="str">
        <f>'HỢP ĐỒNG'!C40</f>
        <v>Đế chia khí dùng cho đường ống khí nén, bằng hợp kim nhôm, loại 3-5 cổng, ren 13mm, áp suất làm việc 1 MPa. KT: (15*5*2)cm+/-10%, không hiệu, nsx: NSX Aikes Pneumatic Components Co., Ltd, mới 100%</v>
      </c>
      <c r="D23" s="21">
        <f>'HỢP ĐỒNG'!I40</f>
        <v>73269099</v>
      </c>
      <c r="E23" s="22" t="s">
        <v>73</v>
      </c>
      <c r="F23" s="23">
        <f>'HỢP ĐỒNG'!E40</f>
        <v>300</v>
      </c>
      <c r="G23" s="396" t="str">
        <f>'INVOICE lam CO'!D36</f>
        <v>PCE</v>
      </c>
      <c r="H23" s="397">
        <v>300</v>
      </c>
      <c r="I23" s="399" t="s">
        <v>143</v>
      </c>
      <c r="J23" s="404">
        <f>'HỢP ĐỒNG'!F40</f>
        <v>4.49</v>
      </c>
      <c r="K23" s="24"/>
      <c r="L23" s="25"/>
      <c r="M23" s="26" t="s">
        <v>97</v>
      </c>
      <c r="Y23" s="27" t="str">
        <f t="shared" si="0"/>
        <v>VB245</v>
      </c>
      <c r="Z23" s="206">
        <f>'HỢP ĐỒNG'!P40</f>
        <v>0.08</v>
      </c>
    </row>
    <row r="24" spans="1:26" ht="45">
      <c r="A24" s="19">
        <f>'HỢP ĐỒNG'!A41</f>
        <v>23</v>
      </c>
      <c r="B24" s="19" t="s">
        <v>27</v>
      </c>
      <c r="C24" s="20" t="str">
        <f>'HỢP ĐỒNG'!C41</f>
        <v xml:space="preserve">Vợt pickleball, model: Bomba X, sử dụng công nghệ ép nóng, lõi eva foam, bề mặt bằng sợi carbon. KT: (40*20*3)cm+/-10%, hiệu: Do-An, mới 100%
</v>
      </c>
      <c r="D24" s="21">
        <f>'HỢP ĐỒNG'!I41</f>
        <v>95069990</v>
      </c>
      <c r="E24" s="22" t="s">
        <v>73</v>
      </c>
      <c r="F24" s="23">
        <f>'HỢP ĐỒNG'!E41</f>
        <v>400</v>
      </c>
      <c r="G24" s="396" t="str">
        <f>'INVOICE lam CO'!D37</f>
        <v>PCE</v>
      </c>
      <c r="H24" s="397">
        <v>400</v>
      </c>
      <c r="I24" s="399" t="s">
        <v>143</v>
      </c>
      <c r="J24" s="404">
        <f>'HỢP ĐỒNG'!F41</f>
        <v>9.24</v>
      </c>
      <c r="K24" s="24"/>
      <c r="L24" s="25"/>
      <c r="M24" s="26" t="s">
        <v>97</v>
      </c>
      <c r="Y24" s="27" t="str">
        <f t="shared" si="0"/>
        <v>VB245</v>
      </c>
      <c r="Z24" s="206">
        <f>'HỢP ĐỒNG'!P41</f>
        <v>0.08</v>
      </c>
    </row>
    <row r="25" spans="1:26" ht="30">
      <c r="A25" s="19">
        <f>'HỢP ĐỒNG'!A42</f>
        <v>24</v>
      </c>
      <c r="B25" s="19" t="s">
        <v>27</v>
      </c>
      <c r="C25" s="20" t="str">
        <f>'HỢP ĐỒNG'!C42</f>
        <v>Yếm cho thú cưng, chất liệu vải dệt từ sợi tổng hợp. KT: (25*20*2)cm+/-10%, không hiệu. NSX: Ningbo Jia Chong International Trade Co., Ltd.., mới 100%</v>
      </c>
      <c r="D25" s="21">
        <f>'HỢP ĐỒNG'!I42</f>
        <v>42010000</v>
      </c>
      <c r="E25" s="22" t="s">
        <v>73</v>
      </c>
      <c r="F25" s="23">
        <f>'HỢP ĐỒNG'!E42</f>
        <v>270</v>
      </c>
      <c r="G25" s="396" t="str">
        <f>'INVOICE lam CO'!D38</f>
        <v>PCE</v>
      </c>
      <c r="H25" s="397">
        <v>270</v>
      </c>
      <c r="I25" s="399" t="s">
        <v>143</v>
      </c>
      <c r="J25" s="404">
        <f>'HỢP ĐỒNG'!F42</f>
        <v>0.92</v>
      </c>
      <c r="K25" s="24"/>
      <c r="L25" s="25"/>
      <c r="M25" s="26" t="s">
        <v>97</v>
      </c>
      <c r="Y25" s="27" t="str">
        <f t="shared" si="0"/>
        <v>VB245</v>
      </c>
      <c r="Z25" s="206">
        <f>'HỢP ĐỒNG'!P42</f>
        <v>0.08</v>
      </c>
    </row>
    <row r="26" spans="1:26" ht="30">
      <c r="A26" s="19">
        <f>'HỢP ĐỒNG'!A43</f>
        <v>25</v>
      </c>
      <c r="B26" s="19" t="s">
        <v>27</v>
      </c>
      <c r="C26" s="20" t="str">
        <f>'HỢP ĐỒNG'!C43</f>
        <v>Dây dắt thú cưng, chất liệu vải dù. KT: 1.2cm*1.5m+/-10%, không hiệu. NSX: Ningbo Jia Chong International Trade Co., Ltd.., mới 100%</v>
      </c>
      <c r="D26" s="21">
        <f>'HỢP ĐỒNG'!I43</f>
        <v>42010000</v>
      </c>
      <c r="E26" s="22" t="s">
        <v>73</v>
      </c>
      <c r="F26" s="23">
        <f>'HỢP ĐỒNG'!E43</f>
        <v>400</v>
      </c>
      <c r="G26" s="396" t="str">
        <f>'INVOICE lam CO'!D39</f>
        <v>PCE</v>
      </c>
      <c r="H26" s="397">
        <v>400</v>
      </c>
      <c r="I26" s="399" t="s">
        <v>143</v>
      </c>
      <c r="J26" s="404">
        <f>'HỢP ĐỒNG'!F43</f>
        <v>0.71</v>
      </c>
      <c r="K26" s="24"/>
      <c r="L26" s="25"/>
      <c r="M26" s="26" t="s">
        <v>97</v>
      </c>
      <c r="Y26" s="27" t="str">
        <f t="shared" si="0"/>
        <v>VB245</v>
      </c>
      <c r="Z26" s="206">
        <f>'HỢP ĐỒNG'!P43</f>
        <v>0.08</v>
      </c>
    </row>
    <row r="27" spans="1:26" ht="45">
      <c r="A27" s="19">
        <f>'HỢP ĐỒNG'!A44</f>
        <v>26</v>
      </c>
      <c r="B27" s="19" t="s">
        <v>27</v>
      </c>
      <c r="C27" s="20" t="str">
        <f>'HỢP ĐỒNG'!C44</f>
        <v>Thanh giá treo của vòi hoa sen cây (gồm 2 thanh), chất liệu thép không gỉ, chống bám bẩn. KT: (1280*370)mm+/-10%, không hiệu,nsx: Jiangyin Yonghao Machinery Co., Ltd. Mới 100%</v>
      </c>
      <c r="D27" s="21">
        <f>'HỢP ĐỒNG'!I44</f>
        <v>73249099</v>
      </c>
      <c r="E27" s="22" t="s">
        <v>73</v>
      </c>
      <c r="F27" s="23">
        <f>'HỢP ĐỒNG'!E44</f>
        <v>1200</v>
      </c>
      <c r="G27" s="396" t="str">
        <f>'INVOICE lam CO'!D40</f>
        <v>SET</v>
      </c>
      <c r="H27" s="397">
        <v>960</v>
      </c>
      <c r="I27" s="399" t="s">
        <v>80</v>
      </c>
      <c r="J27" s="404">
        <f>'HỢP ĐỒNG'!F44</f>
        <v>5.28</v>
      </c>
      <c r="K27" s="24"/>
      <c r="L27" s="25"/>
      <c r="M27" s="26" t="s">
        <v>97</v>
      </c>
      <c r="Y27" s="27" t="str">
        <f t="shared" si="0"/>
        <v>VB245</v>
      </c>
      <c r="Z27" s="206">
        <f>'HỢP ĐỒNG'!P44</f>
        <v>0.08</v>
      </c>
    </row>
    <row r="28" spans="1:26" ht="45">
      <c r="A28" s="19">
        <f>'HỢP ĐỒNG'!A45</f>
        <v>27</v>
      </c>
      <c r="B28" s="19" t="s">
        <v>27</v>
      </c>
      <c r="C28" s="20" t="str">
        <f>'HỢP ĐỒNG'!C45</f>
        <v>Khay chữ nhật, kí hiệu: SL-170, dùng để trang trí, trưng bày trong khách sạn, chất liệu nhựa giả gỗ. KT: (29.7*21.5*6)cm+/-10%, không hiệu. Nsx: Shandong Machinery Co., Ltd. Mới 100%</v>
      </c>
      <c r="D28" s="21">
        <f>'HỢP ĐỒNG'!I45</f>
        <v>39264000</v>
      </c>
      <c r="E28" s="22" t="s">
        <v>73</v>
      </c>
      <c r="F28" s="23">
        <f>'HỢP ĐỒNG'!E45</f>
        <v>48</v>
      </c>
      <c r="G28" s="396" t="str">
        <f>'INVOICE lam CO'!D41</f>
        <v>PCE</v>
      </c>
      <c r="H28" s="397">
        <v>35</v>
      </c>
      <c r="I28" s="399" t="s">
        <v>80</v>
      </c>
      <c r="J28" s="404">
        <f>'HỢP ĐỒNG'!F45</f>
        <v>10.18</v>
      </c>
      <c r="K28" s="24"/>
      <c r="L28" s="25"/>
      <c r="M28" s="26" t="s">
        <v>97</v>
      </c>
      <c r="Y28" s="27" t="str">
        <f t="shared" si="0"/>
        <v>VB245</v>
      </c>
      <c r="Z28" s="206">
        <f>'HỢP ĐỒNG'!P45</f>
        <v>0.08</v>
      </c>
    </row>
    <row r="29" spans="1:26" ht="45">
      <c r="A29" s="19">
        <f>'HỢP ĐỒNG'!A46</f>
        <v>28</v>
      </c>
      <c r="B29" s="19" t="s">
        <v>27</v>
      </c>
      <c r="C29" s="20" t="str">
        <f>'HỢP ĐỒNG'!C46</f>
        <v>Khay đựng đũa đặt trên bàn ăn dùng trong nhà bếp, không dùng đựng thực phẩm,chất liệu bằng nhựa ABS, kí hiệu: C-1222. KT: (27.3*10.5*6.5)cm+-10%, không hiệu. Nsx: Shandong Machinery Co., Ltd. Mới 100%</v>
      </c>
      <c r="D29" s="21">
        <f>'HỢP ĐỒNG'!I46</f>
        <v>39241099</v>
      </c>
      <c r="E29" s="22" t="s">
        <v>73</v>
      </c>
      <c r="F29" s="23">
        <f>'HỢP ĐỒNG'!E46</f>
        <v>150</v>
      </c>
      <c r="G29" s="396" t="str">
        <f>'INVOICE lam CO'!D42</f>
        <v>PCE</v>
      </c>
      <c r="H29" s="397">
        <v>73</v>
      </c>
      <c r="I29" s="399" t="s">
        <v>80</v>
      </c>
      <c r="J29" s="404">
        <f>'HỢP ĐỒNG'!F46</f>
        <v>4.17</v>
      </c>
      <c r="K29" s="24"/>
      <c r="L29" s="25"/>
      <c r="M29" s="26" t="s">
        <v>97</v>
      </c>
      <c r="Y29" s="27" t="str">
        <f t="shared" si="0"/>
        <v>VB245</v>
      </c>
      <c r="Z29" s="206">
        <f>'HỢP ĐỒNG'!P46</f>
        <v>0.08</v>
      </c>
    </row>
    <row r="30" spans="1:26" ht="45">
      <c r="A30" s="19">
        <f>'HỢP ĐỒNG'!A47</f>
        <v>29</v>
      </c>
      <c r="B30" s="19" t="s">
        <v>27</v>
      </c>
      <c r="C30" s="20" t="str">
        <f>'HỢP ĐỒNG'!C47</f>
        <v>Khay đựng đũa đặt trên bàn ăn dùng trong nhà bếp, không dùng đựng thực phẩm, chất liệu bằng nhựa ABS, kí hiệu: C-1223. KT: (26.5*8.7*5)cm+-10%, không hiệu. Nsx: Shandong Machinery Co., Ltd. Mới 100%</v>
      </c>
      <c r="D30" s="21">
        <f>'HỢP ĐỒNG'!I47</f>
        <v>39241099</v>
      </c>
      <c r="E30" s="22" t="s">
        <v>73</v>
      </c>
      <c r="F30" s="23">
        <f>'HỢP ĐỒNG'!E47</f>
        <v>150</v>
      </c>
      <c r="G30" s="396" t="str">
        <f>'INVOICE lam CO'!D43</f>
        <v>PCE</v>
      </c>
      <c r="H30" s="397">
        <v>70</v>
      </c>
      <c r="I30" s="399" t="s">
        <v>80</v>
      </c>
      <c r="J30" s="404">
        <f>'HỢP ĐỒNG'!F47</f>
        <v>4.17</v>
      </c>
      <c r="K30" s="24"/>
      <c r="L30" s="25"/>
      <c r="M30" s="26" t="s">
        <v>97</v>
      </c>
      <c r="Y30" s="27" t="str">
        <f t="shared" si="0"/>
        <v>VB245</v>
      </c>
      <c r="Z30" s="206">
        <f>'HỢP ĐỒNG'!P47</f>
        <v>0.08</v>
      </c>
    </row>
    <row r="31" spans="1:26" ht="45">
      <c r="A31" s="19">
        <f>'HỢP ĐỒNG'!A48</f>
        <v>30</v>
      </c>
      <c r="B31" s="19" t="s">
        <v>27</v>
      </c>
      <c r="C31" s="20" t="str">
        <f>'HỢP ĐỒNG'!C48</f>
        <v>Nồi lẩu sần 2 ngăn NLS2N32B, dùng trong nhà bếp, không dùng điện, chất liệu inox. ĐK: 32cm+/-10%, không hiệu, nsx: Jiangmen Jida Stainless Steel Products Co., Ltd.. Mới 100%</v>
      </c>
      <c r="D31" s="21">
        <f>'HỢP ĐỒNG'!I48</f>
        <v>73239310</v>
      </c>
      <c r="E31" s="22" t="s">
        <v>73</v>
      </c>
      <c r="F31" s="23">
        <f>'HỢP ĐỒNG'!E48</f>
        <v>200</v>
      </c>
      <c r="G31" s="396" t="str">
        <f>'INVOICE lam CO'!D44</f>
        <v>PCE</v>
      </c>
      <c r="H31" s="397">
        <v>265</v>
      </c>
      <c r="I31" s="399" t="s">
        <v>80</v>
      </c>
      <c r="J31" s="404">
        <f>'HỢP ĐỒNG'!F48</f>
        <v>13.19</v>
      </c>
      <c r="K31" s="24"/>
      <c r="L31" s="25"/>
      <c r="M31" s="26" t="s">
        <v>97</v>
      </c>
      <c r="Y31" s="27" t="str">
        <f t="shared" si="0"/>
        <v>VB245</v>
      </c>
      <c r="Z31" s="206">
        <f>'HỢP ĐỒNG'!P48</f>
        <v>0.08</v>
      </c>
    </row>
    <row r="32" spans="1:26" ht="30">
      <c r="A32" s="19">
        <f>'HỢP ĐỒNG'!A49</f>
        <v>31</v>
      </c>
      <c r="B32" s="19" t="s">
        <v>27</v>
      </c>
      <c r="C32" s="20" t="str">
        <f>'HỢP ĐỒNG'!C49</f>
        <v>Nồi lẩu inox NLS30B, dùng trong nhà bếp, không dùng điện. ĐK: 28cm+/-10%, không hiệu, nsx: Jiangmen Jida Stainless Steel Products Co., Ltd.. Mới 100%</v>
      </c>
      <c r="D32" s="21">
        <f>'HỢP ĐỒNG'!I49</f>
        <v>73239310</v>
      </c>
      <c r="E32" s="22" t="s">
        <v>73</v>
      </c>
      <c r="F32" s="23">
        <f>'HỢP ĐỒNG'!E49</f>
        <v>26</v>
      </c>
      <c r="G32" s="396" t="str">
        <f>'INVOICE lam CO'!D45</f>
        <v>PCE</v>
      </c>
      <c r="H32" s="397">
        <v>32</v>
      </c>
      <c r="I32" s="399" t="s">
        <v>80</v>
      </c>
      <c r="J32" s="404">
        <f>'HỢP ĐỒNG'!F49</f>
        <v>7.92</v>
      </c>
      <c r="K32" s="24"/>
      <c r="L32" s="25"/>
      <c r="M32" s="26" t="s">
        <v>97</v>
      </c>
      <c r="Y32" s="27" t="str">
        <f t="shared" si="0"/>
        <v>VB245</v>
      </c>
      <c r="Z32" s="206">
        <f>'HỢP ĐỒNG'!P49</f>
        <v>0.08</v>
      </c>
    </row>
    <row r="33" spans="1:26" ht="45">
      <c r="A33" s="19">
        <f>'HỢP ĐỒNG'!A50</f>
        <v>32</v>
      </c>
      <c r="B33" s="19" t="s">
        <v>27</v>
      </c>
      <c r="C33" s="20" t="str">
        <f>'HỢP ĐỒNG'!C50</f>
        <v>Khay chữ nhật có đế, dùng trang trí trưng bày trong khách sạn, không đựng thực phẩm, KH: 990808, CL nhựa ABS.KT: (20.4*15*5.8)cm+/-10%, không hiệu.NSX: Jiangmen Jida Stainless Steel Products. Mới 100%</v>
      </c>
      <c r="D33" s="21">
        <f>'HỢP ĐỒNG'!I50</f>
        <v>39264000</v>
      </c>
      <c r="E33" s="22" t="s">
        <v>73</v>
      </c>
      <c r="F33" s="23">
        <f>'HỢP ĐỒNG'!E50</f>
        <v>120</v>
      </c>
      <c r="G33" s="396" t="str">
        <f>'INVOICE lam CO'!D46</f>
        <v>PCE</v>
      </c>
      <c r="H33" s="397">
        <v>41</v>
      </c>
      <c r="I33" s="399" t="s">
        <v>80</v>
      </c>
      <c r="J33" s="404">
        <f>'HỢP ĐỒNG'!F50</f>
        <v>1.88</v>
      </c>
      <c r="K33" s="24"/>
      <c r="L33" s="25"/>
      <c r="M33" s="26" t="s">
        <v>97</v>
      </c>
      <c r="Y33" s="27" t="str">
        <f t="shared" si="0"/>
        <v>VB245</v>
      </c>
      <c r="Z33" s="206">
        <f>'HỢP ĐỒNG'!P50</f>
        <v>0.08</v>
      </c>
    </row>
    <row r="34" spans="1:26" ht="45">
      <c r="A34" s="19">
        <f>'HỢP ĐỒNG'!A51</f>
        <v>33</v>
      </c>
      <c r="B34" s="19" t="s">
        <v>27</v>
      </c>
      <c r="C34" s="20" t="str">
        <f>'HỢP ĐỒNG'!C51</f>
        <v>Miếng dán kính cường lực BAIKO GLASS dùng cho điện thoại,loại an toàn 2 lớp (kính dán an toàn nhiều lớp),CL sợi thủy tinh, có lớp bảo vệ bằng nhựa. KT: (185*75*25)mm +/-10%, nhãn hiệu: BAIKO. Mới 100%</v>
      </c>
      <c r="D34" s="21">
        <f>'HỢP ĐỒNG'!I51</f>
        <v>70072990</v>
      </c>
      <c r="E34" s="22" t="s">
        <v>73</v>
      </c>
      <c r="F34" s="23">
        <f>'HỢP ĐỒNG'!E51</f>
        <v>6500</v>
      </c>
      <c r="G34" s="396" t="str">
        <f>'INVOICE lam CO'!D47</f>
        <v>PCE</v>
      </c>
      <c r="H34" s="397">
        <v>112</v>
      </c>
      <c r="I34" s="399" t="s">
        <v>80</v>
      </c>
      <c r="J34" s="404">
        <f>'HỢP ĐỒNG'!F51</f>
        <v>0.183</v>
      </c>
      <c r="K34" s="24"/>
      <c r="L34" s="25"/>
      <c r="M34" s="26" t="s">
        <v>97</v>
      </c>
      <c r="Y34" s="27" t="str">
        <f t="shared" si="0"/>
        <v>VB245</v>
      </c>
      <c r="Z34" s="206">
        <f>'HỢP ĐỒNG'!P51</f>
        <v>0.08</v>
      </c>
    </row>
    <row r="35" spans="1:26" ht="45">
      <c r="A35" s="19">
        <f>'HỢP ĐỒNG'!A52</f>
        <v>34</v>
      </c>
      <c r="B35" s="19" t="s">
        <v>27</v>
      </c>
      <c r="C35" s="20" t="str">
        <f>'HỢP ĐỒNG'!C52</f>
        <v>Miếng dán kính cường lựcBAIKO GLASS trong suốt ko viền đen dùng cho điện thoại,loại an toàn 2lớp(kính dán an toàn nhiều lớp),CLsợi thủy tinh,có lớp bảo vệ bằng nhựa.KT:(185*75*25)mm,hiệu:BAIKO.Mới100%</v>
      </c>
      <c r="D35" s="21">
        <f>'HỢP ĐỒNG'!I52</f>
        <v>70072990</v>
      </c>
      <c r="E35" s="22" t="s">
        <v>73</v>
      </c>
      <c r="F35" s="23">
        <f>'HỢP ĐỒNG'!E52</f>
        <v>13000</v>
      </c>
      <c r="G35" s="396" t="str">
        <f>'INVOICE lam CO'!D48</f>
        <v>PCE</v>
      </c>
      <c r="H35" s="397">
        <v>224</v>
      </c>
      <c r="I35" s="399" t="s">
        <v>80</v>
      </c>
      <c r="J35" s="404">
        <f>'HỢP ĐỒNG'!F52</f>
        <v>0.20699999999999999</v>
      </c>
      <c r="K35" s="24"/>
      <c r="L35" s="25"/>
      <c r="M35" s="26" t="s">
        <v>97</v>
      </c>
      <c r="Y35" s="27" t="str">
        <f t="shared" si="0"/>
        <v>VB245</v>
      </c>
      <c r="Z35" s="206">
        <f>'HỢP ĐỒNG'!P52</f>
        <v>0.08</v>
      </c>
    </row>
    <row r="36" spans="1:26" ht="45">
      <c r="A36" s="19">
        <f>'HỢP ĐỒNG'!A53</f>
        <v>35</v>
      </c>
      <c r="B36" s="19" t="s">
        <v>27</v>
      </c>
      <c r="C36" s="20" t="str">
        <f>'HỢP ĐỒNG'!C53</f>
        <v>Miếng dán kính cường lực BAIKO ULTRA THIN PRIVACY dùng cho điện thoại,loại kính dán nhiều lớp,CL sợi thủy tinh, lớp bảo vệ bằng nhựa. KT (185*75*25)mm +/-10%,nhãn hiệu: BAIKO. Mới 100%</v>
      </c>
      <c r="D36" s="21">
        <f>'HỢP ĐỒNG'!I53</f>
        <v>70072990</v>
      </c>
      <c r="E36" s="22" t="s">
        <v>73</v>
      </c>
      <c r="F36" s="23">
        <f>'HỢP ĐỒNG'!E53</f>
        <v>1620</v>
      </c>
      <c r="G36" s="396" t="str">
        <f>'INVOICE lam CO'!D49</f>
        <v>PCE</v>
      </c>
      <c r="H36" s="397">
        <v>43</v>
      </c>
      <c r="I36" s="399" t="s">
        <v>80</v>
      </c>
      <c r="J36" s="404">
        <f>'HỢP ĐỒNG'!F53</f>
        <v>0.66</v>
      </c>
      <c r="K36" s="24"/>
      <c r="L36" s="25"/>
      <c r="M36" s="26" t="s">
        <v>97</v>
      </c>
      <c r="Y36" s="27" t="str">
        <f t="shared" si="0"/>
        <v>VB245</v>
      </c>
      <c r="Z36" s="206">
        <f>'HỢP ĐỒNG'!P53</f>
        <v>0.08</v>
      </c>
    </row>
    <row r="37" spans="1:26" ht="45">
      <c r="A37" s="19">
        <f>'HỢP ĐỒNG'!A54</f>
        <v>36</v>
      </c>
      <c r="B37" s="19" t="s">
        <v>27</v>
      </c>
      <c r="C37" s="20" t="str">
        <f>'HỢP ĐỒNG'!C54</f>
        <v>Miếng dán kính cường lực BAIKO GLASS PRIVACY cho điện thoại,loại an toàn 2 lớp (kính dán an toàn nhiều lớp),CL sợi thủy tinh, có lớp bảo vệ bằng nhựa. KT: (185*75*25)mm, nhãn hiệu: BAIKO. Mới 100%</v>
      </c>
      <c r="D37" s="21">
        <f>'HỢP ĐỒNG'!I54</f>
        <v>70072990</v>
      </c>
      <c r="E37" s="22" t="s">
        <v>73</v>
      </c>
      <c r="F37" s="23">
        <f>'HỢP ĐỒNG'!E54</f>
        <v>5000</v>
      </c>
      <c r="G37" s="396" t="str">
        <f>'INVOICE lam CO'!D50</f>
        <v>PCE</v>
      </c>
      <c r="H37" s="397">
        <v>104</v>
      </c>
      <c r="I37" s="399" t="s">
        <v>80</v>
      </c>
      <c r="J37" s="404">
        <f>'HỢP ĐỒNG'!F54</f>
        <v>0.32</v>
      </c>
      <c r="K37" s="24"/>
      <c r="L37" s="25"/>
      <c r="M37" s="26" t="s">
        <v>97</v>
      </c>
      <c r="Y37" s="27" t="str">
        <f t="shared" si="0"/>
        <v>VB245</v>
      </c>
      <c r="Z37" s="206">
        <f>'HỢP ĐỒNG'!P54</f>
        <v>0.08</v>
      </c>
    </row>
    <row r="38" spans="1:26" ht="45">
      <c r="A38" s="19">
        <f>'HỢP ĐỒNG'!A55</f>
        <v>37</v>
      </c>
      <c r="B38" s="19" t="s">
        <v>27</v>
      </c>
      <c r="C38" s="20" t="str">
        <f>'HỢP ĐỒNG'!C55</f>
        <v>Tấm kính cường lực loại an toàn nhiều lớp, dùng để bảo vệ màn hình điện thoại di dộng, ESD GLASS màu tím, chất liệu sợi thuỷ tinh, lớp bảo vệ bằng nhựa. KT: (185*75*25)mm, nhãn hiệu: BAIKO.Mới 100%</v>
      </c>
      <c r="D38" s="21">
        <f>'HỢP ĐỒNG'!I55</f>
        <v>70072990</v>
      </c>
      <c r="E38" s="22" t="s">
        <v>73</v>
      </c>
      <c r="F38" s="23">
        <f>'HỢP ĐỒNG'!E55</f>
        <v>3000</v>
      </c>
      <c r="G38" s="396" t="str">
        <f>'INVOICE lam CO'!D51</f>
        <v>PCE</v>
      </c>
      <c r="H38" s="397">
        <v>75</v>
      </c>
      <c r="I38" s="399" t="s">
        <v>80</v>
      </c>
      <c r="J38" s="404">
        <f>'HỢP ĐỒNG'!F55</f>
        <v>0.26</v>
      </c>
      <c r="K38" s="24"/>
      <c r="L38" s="25"/>
      <c r="M38" s="26" t="s">
        <v>97</v>
      </c>
      <c r="Y38" s="27" t="str">
        <f t="shared" si="0"/>
        <v>VB245</v>
      </c>
      <c r="Z38" s="206">
        <f>'HỢP ĐỒNG'!P55</f>
        <v>0.08</v>
      </c>
    </row>
    <row r="39" spans="1:26" ht="45">
      <c r="A39" s="19">
        <f>'HỢP ĐỒNG'!A56</f>
        <v>38</v>
      </c>
      <c r="B39" s="19" t="s">
        <v>27</v>
      </c>
      <c r="C39" s="20" t="str">
        <f>'HỢP ĐỒNG'!C56</f>
        <v>Dây kẽm nhung (lõi kẽm bọc vải nhung) dùng để làm hoa giả, 100 sợi/bó. 1 bó=1 set. KT: đường kính 0.8cm, dài 30cm+/-10%, không hiệu. NSX: Yiwu Tianhong Crafts Co., Ltd, mới 100%</v>
      </c>
      <c r="D39" s="21">
        <f>'HỢP ĐỒNG'!I56</f>
        <v>79070099</v>
      </c>
      <c r="E39" s="22" t="s">
        <v>73</v>
      </c>
      <c r="F39" s="23">
        <f>'HỢP ĐỒNG'!E56</f>
        <v>6000</v>
      </c>
      <c r="G39" s="396" t="str">
        <f>'INVOICE lam CO'!D52</f>
        <v>SET</v>
      </c>
      <c r="H39" s="397">
        <v>705</v>
      </c>
      <c r="I39" s="399" t="s">
        <v>80</v>
      </c>
      <c r="J39" s="404">
        <f>'HỢP ĐỒNG'!F56</f>
        <v>0.41</v>
      </c>
      <c r="K39" s="24"/>
      <c r="L39" s="25"/>
      <c r="M39" s="26" t="s">
        <v>97</v>
      </c>
      <c r="Y39" s="27" t="str">
        <f t="shared" si="0"/>
        <v>VB901</v>
      </c>
      <c r="Z39" s="206">
        <f>'HỢP ĐỒNG'!P56</f>
        <v>0.1</v>
      </c>
    </row>
    <row r="40" spans="1:26" ht="45">
      <c r="A40" s="19">
        <f>'HỢP ĐỒNG'!A57</f>
        <v>39</v>
      </c>
      <c r="B40" s="19" t="s">
        <v>27</v>
      </c>
      <c r="C40" s="20" t="str">
        <f>'HỢP ĐỒNG'!C57</f>
        <v>Miếng nhám cọ rửa bát đĩa, chất liệu lớp mút xốp bằng nhựa, dạng mút xốp kết hợp lớp nhám. KT: (10*6*2)cm+/-10%, không hiệu, nsx: Fengrun Commodity Co., Ltd. Mới 100%</v>
      </c>
      <c r="D40" s="21">
        <f>'HỢP ĐỒNG'!I57</f>
        <v>96039090</v>
      </c>
      <c r="E40" s="22" t="s">
        <v>73</v>
      </c>
      <c r="F40" s="23">
        <f>'HỢP ĐỒNG'!E57</f>
        <v>30000</v>
      </c>
      <c r="G40" s="396" t="str">
        <f>'INVOICE lam CO'!D53</f>
        <v>PCE</v>
      </c>
      <c r="H40" s="398">
        <v>30000</v>
      </c>
      <c r="I40" s="399" t="s">
        <v>143</v>
      </c>
      <c r="J40" s="404">
        <f>'HỢP ĐỒNG'!F57</f>
        <v>0.122</v>
      </c>
      <c r="K40" s="24"/>
      <c r="L40" s="25"/>
      <c r="M40" s="26" t="s">
        <v>97</v>
      </c>
      <c r="Y40" s="27" t="str">
        <f t="shared" si="0"/>
        <v>VB245</v>
      </c>
      <c r="Z40" s="206">
        <f>'HỢP ĐỒNG'!P57</f>
        <v>0.08</v>
      </c>
    </row>
    <row r="41" spans="1:26" ht="30">
      <c r="A41" s="19">
        <f>'HỢP ĐỒNG'!A58</f>
        <v>40</v>
      </c>
      <c r="B41" s="19" t="s">
        <v>27</v>
      </c>
      <c r="C41" s="20" t="str">
        <f>'HỢP ĐỒNG'!C58</f>
        <v>Hộp 4 bút bi mực gel, thân vỏ bút bằng nhựa tổng hợp có in họa tiết. KT: (dài 18*0.8cm)+-10%, không hiệu. Nsx Baiqi Hourglass Pens Co.Ltd, mới 100%</v>
      </c>
      <c r="D41" s="21">
        <f>'HỢP ĐỒNG'!I58</f>
        <v>96081010</v>
      </c>
      <c r="E41" s="22" t="s">
        <v>73</v>
      </c>
      <c r="F41" s="23">
        <f>'HỢP ĐỒNG'!E58</f>
        <v>2500</v>
      </c>
      <c r="G41" s="396" t="str">
        <f>'INVOICE lam CO'!D54</f>
        <v>UNK</v>
      </c>
      <c r="H41" s="398">
        <v>2500</v>
      </c>
      <c r="I41" s="399" t="s">
        <v>183</v>
      </c>
      <c r="J41" s="404">
        <f>'HỢP ĐỒNG'!F58</f>
        <v>0.56999999999999995</v>
      </c>
      <c r="K41" s="24"/>
      <c r="L41" s="25"/>
      <c r="M41" s="26" t="s">
        <v>97</v>
      </c>
      <c r="Y41" s="27" t="str">
        <f t="shared" si="0"/>
        <v>VB245</v>
      </c>
      <c r="Z41" s="206">
        <f>'HỢP ĐỒNG'!P58</f>
        <v>0.08</v>
      </c>
    </row>
    <row r="42" spans="1:26" ht="45">
      <c r="A42" s="19">
        <f>'HỢP ĐỒNG'!A59</f>
        <v>41</v>
      </c>
      <c r="B42" s="19" t="s">
        <v>27</v>
      </c>
      <c r="C42" s="20" t="str">
        <f>'HỢP ĐỒNG'!C59</f>
        <v>Túi đựng dụng cụ học tập 1 ngăn in họa tiết basic loại đựng trong túi, cặp chất liệu và mặt ngoài bằng vải dệt. KT: (20*8*6)cm+/-10%, không hiệu. NSX: Shanghai Stationery Inc. Mới 100%</v>
      </c>
      <c r="D42" s="21">
        <f>'HỢP ĐỒNG'!I59</f>
        <v>42023200</v>
      </c>
      <c r="E42" s="22" t="s">
        <v>73</v>
      </c>
      <c r="F42" s="23">
        <f>'HỢP ĐỒNG'!E59</f>
        <v>14500</v>
      </c>
      <c r="G42" s="396" t="str">
        <f>'INVOICE lam CO'!D55</f>
        <v>PCE</v>
      </c>
      <c r="H42" s="398">
        <v>14500</v>
      </c>
      <c r="I42" s="399" t="s">
        <v>143</v>
      </c>
      <c r="J42" s="404">
        <f>'HỢP ĐỒNG'!F59</f>
        <v>0.28999999999999998</v>
      </c>
      <c r="K42" s="24"/>
      <c r="L42" s="25"/>
      <c r="M42" s="26" t="s">
        <v>97</v>
      </c>
      <c r="Y42" s="27" t="str">
        <f t="shared" si="0"/>
        <v>VB245</v>
      </c>
      <c r="Z42" s="206">
        <f>'HỢP ĐỒNG'!P59</f>
        <v>0.08</v>
      </c>
    </row>
    <row r="43" spans="1:26" ht="45">
      <c r="A43" s="19">
        <f>'HỢP ĐỒNG'!A60</f>
        <v>42</v>
      </c>
      <c r="B43" s="19" t="s">
        <v>27</v>
      </c>
      <c r="C43" s="20" t="str">
        <f>'HỢP ĐỒNG'!C60</f>
        <v>Túi đựng dụng cụ học tập 2 ngăn loại đựng trong túi, cặp chất liệu và mặt ngoài bằng vải dệt không thấm nước. KT: (20*10*6)cm+/-10%, không hiệu. NSX:Yiwu Jiayi Daily Necessities Factory,mới 100%</v>
      </c>
      <c r="D43" s="21">
        <f>'HỢP ĐỒNG'!I60</f>
        <v>42023200</v>
      </c>
      <c r="E43" s="22" t="s">
        <v>73</v>
      </c>
      <c r="F43" s="23">
        <f>'HỢP ĐỒNG'!E60</f>
        <v>1000</v>
      </c>
      <c r="G43" s="396" t="str">
        <f>'INVOICE lam CO'!D56</f>
        <v>PCE</v>
      </c>
      <c r="H43" s="398">
        <v>1000</v>
      </c>
      <c r="I43" s="399" t="s">
        <v>143</v>
      </c>
      <c r="J43" s="404">
        <f>'HỢP ĐỒNG'!F60</f>
        <v>0.45</v>
      </c>
      <c r="K43" s="24"/>
      <c r="L43" s="25"/>
      <c r="M43" s="26" t="s">
        <v>97</v>
      </c>
      <c r="Y43" s="27" t="str">
        <f t="shared" si="0"/>
        <v>VB245</v>
      </c>
      <c r="Z43" s="206">
        <f>'HỢP ĐỒNG'!P60</f>
        <v>0.08</v>
      </c>
    </row>
    <row r="44" spans="1:26" ht="45">
      <c r="A44" s="19">
        <f>'HỢP ĐỒNG'!A61</f>
        <v>43</v>
      </c>
      <c r="B44" s="19" t="s">
        <v>27</v>
      </c>
      <c r="C44" s="20" t="str">
        <f>'HỢP ĐỒNG'!C61</f>
        <v>Máy làm đá viên, model: FPS-1500P. KT máy: (1225*970*1920)mm, kt thùng chứa đá: (1330*720*930)mm+/-10%, đ/áp: 220V/50Hz, CS: 682kg/24h. Nhãn hiệu: ASIMA, mới 100%</v>
      </c>
      <c r="D44" s="21">
        <f>'HỢP ĐỒNG'!I61</f>
        <v>84186990</v>
      </c>
      <c r="E44" s="22" t="s">
        <v>73</v>
      </c>
      <c r="F44" s="23">
        <f>'HỢP ĐỒNG'!E61</f>
        <v>3</v>
      </c>
      <c r="G44" s="396" t="str">
        <f>'INVOICE lam CO'!D57</f>
        <v>PCE</v>
      </c>
      <c r="H44" s="397">
        <v>3</v>
      </c>
      <c r="I44" s="399" t="s">
        <v>143</v>
      </c>
      <c r="J44" s="404">
        <f>'HỢP ĐỒNG'!F61</f>
        <v>3940.06</v>
      </c>
      <c r="K44" s="24"/>
      <c r="L44" s="25"/>
      <c r="M44" s="26" t="s">
        <v>97</v>
      </c>
      <c r="Y44" s="27" t="str">
        <f t="shared" si="0"/>
        <v>VB245</v>
      </c>
      <c r="Z44" s="206">
        <f>'HỢP ĐỒNG'!P61</f>
        <v>0.08</v>
      </c>
    </row>
    <row r="45" spans="1:26" ht="45">
      <c r="A45" s="19">
        <f>'HỢP ĐỒNG'!A62</f>
        <v>44</v>
      </c>
      <c r="B45" s="19" t="s">
        <v>27</v>
      </c>
      <c r="C45" s="20" t="str">
        <f>'HỢP ĐỒNG'!C62</f>
        <v>Máy massage đầu gối 5 chế độ hoạt động, dùng để massage thư giãn, giảm mỏi cơ vùng đầu gối. Công suất: 3.7V/10W, dung lượng pin 2000 mAh. Model: DG11.Hiệu: DELAX, mới 100%</v>
      </c>
      <c r="D45" s="21">
        <f>'HỢP ĐỒNG'!I62</f>
        <v>90191010</v>
      </c>
      <c r="E45" s="22" t="s">
        <v>73</v>
      </c>
      <c r="F45" s="23">
        <f>'HỢP ĐỒNG'!E62</f>
        <v>400</v>
      </c>
      <c r="G45" s="396" t="str">
        <f>'INVOICE lam CO'!D58</f>
        <v>PCE</v>
      </c>
      <c r="H45" s="397">
        <v>400</v>
      </c>
      <c r="I45" s="399" t="s">
        <v>143</v>
      </c>
      <c r="J45" s="404">
        <f>'HỢP ĐỒNG'!F62</f>
        <v>19.98</v>
      </c>
      <c r="K45" s="24"/>
      <c r="L45" s="25"/>
      <c r="M45" s="26" t="s">
        <v>97</v>
      </c>
      <c r="Y45" s="27" t="str">
        <f t="shared" si="0"/>
        <v>VB245</v>
      </c>
      <c r="Z45" s="206">
        <f>'HỢP ĐỒNG'!P62</f>
        <v>0.08</v>
      </c>
    </row>
    <row r="46" spans="1:26" ht="45">
      <c r="A46" s="19">
        <f>'HỢP ĐỒNG'!A63</f>
        <v>45</v>
      </c>
      <c r="B46" s="19" t="s">
        <v>27</v>
      </c>
      <c r="C46" s="20" t="str">
        <f>'HỢP ĐỒNG'!C63</f>
        <v>Chậu rửa bát bằng inox 201, chống ngưng tụ nước, 1 hộc dùng trong nhà bếp. KT: (450*400*215)mm+/-10%, kí hiệu: 4540-D(201)2.7mm, không hiệu. NSX: Foshan Jinyunke Kitchen &amp; Bath Co., Ltd., mới 100%</v>
      </c>
      <c r="D46" s="21">
        <f>'HỢP ĐỒNG'!I63</f>
        <v>73241010</v>
      </c>
      <c r="E46" s="22" t="s">
        <v>73</v>
      </c>
      <c r="F46" s="23">
        <f>'HỢP ĐỒNG'!E63</f>
        <v>400</v>
      </c>
      <c r="G46" s="396" t="str">
        <f>'INVOICE lam CO'!D59</f>
        <v>PCE</v>
      </c>
      <c r="H46" s="397">
        <v>400</v>
      </c>
      <c r="I46" s="399" t="s">
        <v>143</v>
      </c>
      <c r="J46" s="404">
        <f>'HỢP ĐỒNG'!F63</f>
        <v>10.41</v>
      </c>
      <c r="K46" s="24"/>
      <c r="L46" s="25"/>
      <c r="M46" s="26" t="s">
        <v>97</v>
      </c>
      <c r="Y46" s="27" t="str">
        <f t="shared" si="0"/>
        <v>VB245</v>
      </c>
      <c r="Z46" s="206">
        <f>'HỢP ĐỒNG'!P63</f>
        <v>0.08</v>
      </c>
    </row>
    <row r="47" spans="1:26" ht="45">
      <c r="A47" s="19">
        <f>'HỢP ĐỒNG'!A64</f>
        <v>46</v>
      </c>
      <c r="B47" s="19" t="s">
        <v>27</v>
      </c>
      <c r="C47" s="20" t="str">
        <f>'HỢP ĐỒNG'!C64</f>
        <v>Chậu rửa bát bằng inox 201, chống ngưng tụ nước, 1 hộc dùng trong nhà bếp. KT: (500*400*215)mm+/-10%, kí hiệu: 5040-D(201)2.7mm, không hiệu. NSX: Foshan Jinyunke Kitchen &amp; Bath Co., Ltd., mới 100%</v>
      </c>
      <c r="D47" s="21">
        <f>'HỢP ĐỒNG'!I64</f>
        <v>73241010</v>
      </c>
      <c r="E47" s="22" t="s">
        <v>73</v>
      </c>
      <c r="F47" s="23">
        <f>'HỢP ĐỒNG'!E64</f>
        <v>200</v>
      </c>
      <c r="G47" s="396" t="str">
        <f>'INVOICE lam CO'!D60</f>
        <v>PCE</v>
      </c>
      <c r="H47" s="397">
        <v>200</v>
      </c>
      <c r="I47" s="399" t="s">
        <v>143</v>
      </c>
      <c r="J47" s="404">
        <f>'HỢP ĐỒNG'!F64</f>
        <v>10.77</v>
      </c>
      <c r="K47" s="24"/>
      <c r="L47" s="25"/>
      <c r="M47" s="26" t="s">
        <v>97</v>
      </c>
      <c r="Y47" s="27" t="str">
        <f t="shared" si="0"/>
        <v>VB245</v>
      </c>
      <c r="Z47" s="206">
        <f>'HỢP ĐỒNG'!P64</f>
        <v>0.08</v>
      </c>
    </row>
    <row r="48" spans="1:26" ht="45">
      <c r="A48" s="19">
        <f>'HỢP ĐỒNG'!A65</f>
        <v>47</v>
      </c>
      <c r="B48" s="19" t="s">
        <v>27</v>
      </c>
      <c r="C48" s="20" t="str">
        <f>'HỢP ĐỒNG'!C65</f>
        <v>Chậu rửa bát bằng inox 201, chống ngưng tụ nước, 1 hộc dùng trong nhà bếp. KT: (600*450*215)mm+/-10%, kí hiệu: 6045-D(201)2.7mm, không hiệu. NSX: Foshan Jinyunke Kitchen &amp; Bath Co., Ltd., mới 100%</v>
      </c>
      <c r="D48" s="21">
        <f>'HỢP ĐỒNG'!I65</f>
        <v>73241010</v>
      </c>
      <c r="E48" s="22" t="s">
        <v>73</v>
      </c>
      <c r="F48" s="23">
        <f>'HỢP ĐỒNG'!E65</f>
        <v>400</v>
      </c>
      <c r="G48" s="396" t="str">
        <f>'INVOICE lam CO'!D61</f>
        <v>PCE</v>
      </c>
      <c r="H48" s="397">
        <v>400</v>
      </c>
      <c r="I48" s="399" t="s">
        <v>143</v>
      </c>
      <c r="J48" s="404">
        <f>'HỢP ĐỒNG'!F65</f>
        <v>11.09</v>
      </c>
      <c r="K48" s="24"/>
      <c r="L48" s="25"/>
      <c r="M48" s="26" t="s">
        <v>97</v>
      </c>
      <c r="Y48" s="27" t="str">
        <f t="shared" si="0"/>
        <v>VB245</v>
      </c>
      <c r="Z48" s="206">
        <f>'HỢP ĐỒNG'!P65</f>
        <v>0.08</v>
      </c>
    </row>
    <row r="49" spans="1:26" ht="45">
      <c r="A49" s="19">
        <f>'HỢP ĐỒNG'!A66</f>
        <v>48</v>
      </c>
      <c r="B49" s="19" t="s">
        <v>27</v>
      </c>
      <c r="C49" s="20" t="str">
        <f>'HỢP ĐỒNG'!C66</f>
        <v>Chậu rửa bát bằng inox 201, chống ngưng tụ nước, 1 hộc dùng trong nhà bếp. KT: (600*450*215)mm+/-10%, kí hiệu: 6045-AE(201)2.7mm, không hiệu. NSX: Foshan Jinyunke Kitchen &amp; Bath Co., Ltd., mới 100%</v>
      </c>
      <c r="D49" s="21">
        <f>'HỢP ĐỒNG'!I66</f>
        <v>73241010</v>
      </c>
      <c r="E49" s="22" t="s">
        <v>73</v>
      </c>
      <c r="F49" s="23">
        <f>'HỢP ĐỒNG'!E66</f>
        <v>200</v>
      </c>
      <c r="G49" s="396" t="str">
        <f>'INVOICE lam CO'!D62</f>
        <v>PCE</v>
      </c>
      <c r="H49" s="397">
        <v>200</v>
      </c>
      <c r="I49" s="399" t="s">
        <v>143</v>
      </c>
      <c r="J49" s="404">
        <f>'HỢP ĐỒNG'!F66</f>
        <v>14.36</v>
      </c>
      <c r="K49" s="24"/>
      <c r="L49" s="25"/>
      <c r="M49" s="26" t="s">
        <v>97</v>
      </c>
      <c r="Y49" s="27" t="str">
        <f t="shared" si="0"/>
        <v>VB245</v>
      </c>
      <c r="Z49" s="206">
        <f>'HỢP ĐỒNG'!P66</f>
        <v>0.08</v>
      </c>
    </row>
    <row r="50" spans="1:26" ht="34.9" customHeight="1">
      <c r="A50" s="19">
        <f>'HỢP ĐỒNG'!A67</f>
        <v>49</v>
      </c>
      <c r="B50" s="19" t="s">
        <v>27</v>
      </c>
      <c r="C50" s="20" t="str">
        <f>'HỢP ĐỒNG'!C67</f>
        <v>Chậu rửa bát bằng inox 304, chống ngưng tụ nước, 1 hộc dùng trong nhà bếp, KT: (750*460*215)mm+/-10%, kí hiệu: 7546-B(304)5.0mm, không hiệu. NSX: Foshan Jinyunke Kitchen &amp; Bath Co., Ltd., mới 100%</v>
      </c>
      <c r="D50" s="21">
        <f>'HỢP ĐỒNG'!I67</f>
        <v>73241010</v>
      </c>
      <c r="E50" s="22" t="s">
        <v>73</v>
      </c>
      <c r="F50" s="23">
        <f>'HỢP ĐỒNG'!E67</f>
        <v>60</v>
      </c>
      <c r="G50" s="396" t="str">
        <f>'INVOICE lam CO'!D63</f>
        <v>PCE</v>
      </c>
      <c r="H50" s="397">
        <v>60</v>
      </c>
      <c r="I50" s="399" t="s">
        <v>143</v>
      </c>
      <c r="J50" s="404">
        <f>'HỢP ĐỒNG'!F67</f>
        <v>34.07</v>
      </c>
      <c r="K50" s="24"/>
      <c r="L50" s="25"/>
      <c r="M50" s="26" t="s">
        <v>97</v>
      </c>
      <c r="Y50" s="27" t="str">
        <f t="shared" si="0"/>
        <v>VB245</v>
      </c>
      <c r="Z50" s="206">
        <f>'HỢP ĐỒNG'!P67</f>
        <v>0.08</v>
      </c>
    </row>
    <row r="51" spans="1:26" ht="45">
      <c r="A51" s="19">
        <f>'HỢP ĐỒNG'!A68</f>
        <v>50</v>
      </c>
      <c r="B51" s="19" t="s">
        <v>27</v>
      </c>
      <c r="C51" s="20" t="str">
        <f>'HỢP ĐỒNG'!C68</f>
        <v>Chậu rửa bát bằng inox 201, chống ngưng tụ nước, 1 hộc dùng trong nhà bếp, KT: (780*460*215)mm+/-10%, kí hiệu: 7846-A(201)2.7mm, không hiệu. NSX: Foshan Jinyunke Kitchen &amp; Bath Co., Ltd., mới 100%</v>
      </c>
      <c r="D51" s="21">
        <f>'HỢP ĐỒNG'!I68</f>
        <v>73241010</v>
      </c>
      <c r="E51" s="22" t="s">
        <v>73</v>
      </c>
      <c r="F51" s="23">
        <f>'HỢP ĐỒNG'!E68</f>
        <v>100</v>
      </c>
      <c r="G51" s="396" t="str">
        <f>'INVOICE lam CO'!D64</f>
        <v>PCE</v>
      </c>
      <c r="H51" s="397">
        <v>100</v>
      </c>
      <c r="I51" s="399" t="s">
        <v>143</v>
      </c>
      <c r="J51" s="404">
        <f>'HỢP ĐỒNG'!F68</f>
        <v>16.850000000000001</v>
      </c>
      <c r="K51" s="24"/>
      <c r="L51" s="25"/>
      <c r="M51" s="26" t="s">
        <v>97</v>
      </c>
      <c r="Y51" s="27" t="str">
        <f t="shared" si="0"/>
        <v>VB245</v>
      </c>
      <c r="Z51" s="206">
        <f>'HỢP ĐỒNG'!P68</f>
        <v>0.08</v>
      </c>
    </row>
    <row r="52" spans="1:26" ht="45">
      <c r="A52" s="19">
        <f>'HỢP ĐỒNG'!A69</f>
        <v>51</v>
      </c>
      <c r="B52" s="19" t="s">
        <v>27</v>
      </c>
      <c r="C52" s="20" t="str">
        <f>'HỢP ĐỒNG'!C69</f>
        <v>Chậu rửa bát bằng inox 201, chống ngưng tụ nước, 2 hộc dùng trong nhà bếp, KT: (780*460*215)mm+/-10%, kí hiệu: 7846-AE(201)2.7mm, không hiệu. NSX: Foshan Jinyunke Kitchen &amp; Bath Co., Ltd., mới 100%</v>
      </c>
      <c r="D52" s="21">
        <f>'HỢP ĐỒNG'!I69</f>
        <v>73241010</v>
      </c>
      <c r="E52" s="22" t="s">
        <v>73</v>
      </c>
      <c r="F52" s="23">
        <f>'HỢP ĐỒNG'!E69</f>
        <v>100</v>
      </c>
      <c r="G52" s="396" t="str">
        <f>'INVOICE lam CO'!D65</f>
        <v>PCE</v>
      </c>
      <c r="H52" s="397">
        <v>100</v>
      </c>
      <c r="I52" s="399" t="s">
        <v>143</v>
      </c>
      <c r="J52" s="404">
        <f>'HỢP ĐỒNG'!F69</f>
        <v>20.46</v>
      </c>
      <c r="K52" s="24"/>
      <c r="L52" s="25"/>
      <c r="M52" s="26" t="s">
        <v>97</v>
      </c>
      <c r="Y52" s="27" t="str">
        <f t="shared" si="0"/>
        <v>VB245</v>
      </c>
      <c r="Z52" s="206">
        <f>'HỢP ĐỒNG'!P69</f>
        <v>0.08</v>
      </c>
    </row>
    <row r="53" spans="1:26" ht="45">
      <c r="A53" s="19">
        <f>'HỢP ĐỒNG'!A70</f>
        <v>52</v>
      </c>
      <c r="B53" s="19" t="s">
        <v>27</v>
      </c>
      <c r="C53" s="20" t="str">
        <f>'HỢP ĐỒNG'!C70</f>
        <v>Điều khiển cửa cuốn từ xa, loại điều khiển bằng sóng hồng ngoại, vỏ bằng nhựa tổng hợp, không chứa dữ liệu, mật mã dân sự, sử dụng pin 23A/12V, không hiệu. Nsx: Zhejiang Zhiyuan Factory. Mới 100%</v>
      </c>
      <c r="D53" s="21">
        <f>'HỢP ĐỒNG'!I70</f>
        <v>85437029</v>
      </c>
      <c r="E53" s="22" t="s">
        <v>73</v>
      </c>
      <c r="F53" s="23">
        <f>'HỢP ĐỒNG'!E70</f>
        <v>5000</v>
      </c>
      <c r="G53" s="396" t="str">
        <f>'INVOICE lam CO'!D66</f>
        <v>PCE</v>
      </c>
      <c r="H53" s="398">
        <v>5000</v>
      </c>
      <c r="I53" s="399" t="s">
        <v>143</v>
      </c>
      <c r="J53" s="404">
        <f>'HỢP ĐỒNG'!F70</f>
        <v>0.94</v>
      </c>
      <c r="K53" s="24"/>
      <c r="L53" s="25"/>
      <c r="M53" s="26" t="s">
        <v>97</v>
      </c>
      <c r="Y53" s="27" t="str">
        <f t="shared" si="0"/>
        <v>VB245</v>
      </c>
      <c r="Z53" s="206">
        <f>'HỢP ĐỒNG'!P70</f>
        <v>0.08</v>
      </c>
    </row>
    <row r="54" spans="1:26" ht="45">
      <c r="A54" s="19">
        <f>'HỢP ĐỒNG'!A71</f>
        <v>53</v>
      </c>
      <c r="B54" s="19" t="s">
        <v>27</v>
      </c>
      <c r="C54" s="20" t="str">
        <f>'HỢP ĐỒNG'!C71</f>
        <v>Bộ điều khiển cửa cuốn gồm 1 hộp tín hiệu trung tâm và 2 tay khiển, loại điều khiển bằng sóng hồng ngoại, vỏ bằng nhựa tổng hợp, không chứa dữ liệu, mật mã dân sự,dùng pin 23A/12V, không hiệu.Mới 100%</v>
      </c>
      <c r="D54" s="21">
        <f>'HỢP ĐỒNG'!I71</f>
        <v>85437029</v>
      </c>
      <c r="E54" s="22" t="s">
        <v>73</v>
      </c>
      <c r="F54" s="23">
        <f>'HỢP ĐỒNG'!E71</f>
        <v>200</v>
      </c>
      <c r="G54" s="396" t="str">
        <f>'INVOICE lam CO'!D67</f>
        <v>SET</v>
      </c>
      <c r="H54" s="397">
        <v>600</v>
      </c>
      <c r="I54" s="399" t="s">
        <v>143</v>
      </c>
      <c r="J54" s="404">
        <f>'HỢP ĐỒNG'!F71</f>
        <v>5.65</v>
      </c>
      <c r="K54" s="24"/>
      <c r="L54" s="25"/>
      <c r="M54" s="26" t="s">
        <v>97</v>
      </c>
      <c r="Y54" s="27" t="str">
        <f t="shared" si="0"/>
        <v>VB245</v>
      </c>
      <c r="Z54" s="206">
        <f>'HỢP ĐỒNG'!P71</f>
        <v>0.08</v>
      </c>
    </row>
    <row r="55" spans="1:26" ht="45">
      <c r="A55" s="19">
        <f>'HỢP ĐỒNG'!A72</f>
        <v>54</v>
      </c>
      <c r="B55" s="19" t="s">
        <v>27</v>
      </c>
      <c r="C55" s="20" t="str">
        <f>'HỢP ĐỒNG'!C72</f>
        <v>Bộ điều khiển cửa cuốn gồm 1 hộp tín hiệu trung tâm và 2 tay khiển nắp trượt, loại điều khiển bằng sóng hồng ngoại, vỏ bằng nhựa tổng hợp, không chứa dữ liệu, mmds,dùng pin 23A/12V,không hiệu.Mới 100%</v>
      </c>
      <c r="D55" s="21">
        <f>'HỢP ĐỒNG'!I72</f>
        <v>85437029</v>
      </c>
      <c r="E55" s="22" t="s">
        <v>73</v>
      </c>
      <c r="F55" s="23">
        <f>'HỢP ĐỒNG'!E72</f>
        <v>500</v>
      </c>
      <c r="G55" s="396" t="str">
        <f>'INVOICE lam CO'!D68</f>
        <v>SET</v>
      </c>
      <c r="H55" s="397">
        <v>1500</v>
      </c>
      <c r="I55" s="399" t="s">
        <v>143</v>
      </c>
      <c r="J55" s="404">
        <f>'HỢP ĐỒNG'!F72</f>
        <v>7.54</v>
      </c>
      <c r="K55" s="24"/>
      <c r="L55" s="25"/>
      <c r="M55" s="26" t="s">
        <v>97</v>
      </c>
      <c r="Y55" s="27" t="str">
        <f t="shared" si="0"/>
        <v>VB245</v>
      </c>
      <c r="Z55" s="206">
        <f>'HỢP ĐỒNG'!P72</f>
        <v>0.08</v>
      </c>
    </row>
    <row r="56" spans="1:26" ht="45">
      <c r="A56" s="19">
        <f>'HỢP ĐỒNG'!A73</f>
        <v>55</v>
      </c>
      <c r="B56" s="19" t="s">
        <v>27</v>
      </c>
      <c r="C56" s="20" t="str">
        <f>'HỢP ĐỒNG'!C73</f>
        <v>Công tắc hành trình dùng cho cửa cuốn để xác định điểm dừng khi đóng/mở cửa, đ/a: 250V, dòng điện 5A, đ/a:250V, KH: ME-9101 không hiệu, Nsx: Zhejiang Zhiyuan Factory, mới 100%</v>
      </c>
      <c r="D56" s="21">
        <f>'HỢP ĐỒNG'!I73</f>
        <v>85365096</v>
      </c>
      <c r="E56" s="22" t="s">
        <v>73</v>
      </c>
      <c r="F56" s="23">
        <f>'HỢP ĐỒNG'!E73</f>
        <v>1000</v>
      </c>
      <c r="G56" s="396" t="str">
        <f>'INVOICE lam CO'!D69</f>
        <v>PCE</v>
      </c>
      <c r="H56" s="398">
        <v>1000</v>
      </c>
      <c r="I56" s="399" t="s">
        <v>143</v>
      </c>
      <c r="J56" s="404">
        <f>'HỢP ĐỒNG'!F73</f>
        <v>0.68</v>
      </c>
      <c r="K56" s="24"/>
      <c r="L56" s="25"/>
      <c r="M56" s="26" t="s">
        <v>97</v>
      </c>
      <c r="Y56" s="27" t="str">
        <f t="shared" si="0"/>
        <v>VB245</v>
      </c>
      <c r="Z56" s="206">
        <f>'HỢP ĐỒNG'!P73</f>
        <v>0.08</v>
      </c>
    </row>
    <row r="57" spans="1:26" ht="45">
      <c r="A57" s="19">
        <f>'HỢP ĐỒNG'!A74</f>
        <v>56</v>
      </c>
      <c r="B57" s="19" t="s">
        <v>27</v>
      </c>
      <c r="C57" s="20" t="str">
        <f>'HỢP ĐỒNG'!C74</f>
        <v>Công tắc hành trình dùng cho cửa cuốn để xác định điểm dừng khi đóng/mở cửa, đ/a: 220V, dòng điện 5A, đ/a:250V, KH: ME-8108, không hiệu, Nsx: Zhejiang Zhiyuan Factory, mới 100%</v>
      </c>
      <c r="D57" s="21">
        <f>'HỢP ĐỒNG'!I74</f>
        <v>85365096</v>
      </c>
      <c r="E57" s="22" t="s">
        <v>73</v>
      </c>
      <c r="F57" s="23">
        <f>'HỢP ĐỒNG'!E74</f>
        <v>4000</v>
      </c>
      <c r="G57" s="396" t="str">
        <f>'INVOICE lam CO'!D70</f>
        <v>PCE</v>
      </c>
      <c r="H57" s="398">
        <v>4000</v>
      </c>
      <c r="I57" s="399" t="s">
        <v>143</v>
      </c>
      <c r="J57" s="404">
        <f>'HỢP ĐỒNG'!F74</f>
        <v>0.75</v>
      </c>
      <c r="K57" s="24"/>
      <c r="L57" s="25"/>
      <c r="M57" s="26" t="s">
        <v>97</v>
      </c>
      <c r="Y57" s="27" t="str">
        <f t="shared" si="0"/>
        <v>VB245</v>
      </c>
      <c r="Z57" s="206">
        <f>'HỢP ĐỒNG'!P74</f>
        <v>0.08</v>
      </c>
    </row>
    <row r="58" spans="1:26" ht="45">
      <c r="A58" s="19">
        <f>'HỢP ĐỒNG'!A75</f>
        <v>57</v>
      </c>
      <c r="B58" s="19" t="s">
        <v>27</v>
      </c>
      <c r="C58" s="20" t="str">
        <f>'HỢP ĐỒNG'!C75</f>
        <v>Bộ nguồn adapter đa năng có núm xoay điều chỉnh điện áp dùng cho thiết bị massage điện đá nóng, model: 31220, đ/a đầu ra: 3-12V, dòng điện 2A, không hiệu, NSX: Shanghai Metal &amp; Plastic. Mới 100%</v>
      </c>
      <c r="D58" s="21">
        <f>'HỢP ĐỒNG'!I75</f>
        <v>85044090</v>
      </c>
      <c r="E58" s="22" t="s">
        <v>73</v>
      </c>
      <c r="F58" s="23">
        <f>'HỢP ĐỒNG'!E75</f>
        <v>2000</v>
      </c>
      <c r="G58" s="396" t="str">
        <f>'INVOICE lam CO'!D71</f>
        <v>SET</v>
      </c>
      <c r="H58" s="398">
        <v>2000</v>
      </c>
      <c r="I58" s="399" t="s">
        <v>143</v>
      </c>
      <c r="J58" s="404">
        <f>'HỢP ĐỒNG'!F75</f>
        <v>1.7</v>
      </c>
      <c r="K58" s="24"/>
      <c r="L58" s="25"/>
      <c r="M58" s="26" t="s">
        <v>97</v>
      </c>
      <c r="Y58" s="27" t="str">
        <f t="shared" si="0"/>
        <v>VB245</v>
      </c>
      <c r="Z58" s="206">
        <f>'HỢP ĐỒNG'!P75</f>
        <v>0.08</v>
      </c>
    </row>
    <row r="59" spans="1:26" ht="45">
      <c r="A59" s="19">
        <f>'HỢP ĐỒNG'!A76</f>
        <v>58</v>
      </c>
      <c r="B59" s="19" t="s">
        <v>27</v>
      </c>
      <c r="C59" s="20" t="str">
        <f>'HỢP ĐỒNG'!C76</f>
        <v>Dây thắt lưng nam nữ đục lỗ hình ngôi sao, 4 màu đen, trắng, hồng, vàng, chất liệu nhựa giả da (PU), KT: rộng 1.8cm, dài 105cm+-10%, không hiệu, Nsx: Qingdao fashion Co., Ltd, Mới 100%</v>
      </c>
      <c r="D59" s="21">
        <f>'HỢP ĐỒNG'!I76</f>
        <v>39262090</v>
      </c>
      <c r="E59" s="22" t="s">
        <v>73</v>
      </c>
      <c r="F59" s="23">
        <f>'HỢP ĐỒNG'!E76</f>
        <v>800</v>
      </c>
      <c r="G59" s="396" t="str">
        <f>'INVOICE lam CO'!D72</f>
        <v>PCE</v>
      </c>
      <c r="H59" s="397">
        <v>800</v>
      </c>
      <c r="I59" s="399" t="s">
        <v>143</v>
      </c>
      <c r="J59" s="404">
        <f>'HỢP ĐỒNG'!F76</f>
        <v>0.17</v>
      </c>
      <c r="K59" s="24"/>
      <c r="L59" s="25"/>
      <c r="M59" s="26" t="s">
        <v>97</v>
      </c>
      <c r="Y59" s="27" t="str">
        <f t="shared" si="0"/>
        <v>VB245</v>
      </c>
      <c r="Z59" s="206">
        <f>'HỢP ĐỒNG'!P76</f>
        <v>0.08</v>
      </c>
    </row>
    <row r="60" spans="1:26" ht="35.65" customHeight="1">
      <c r="A60" s="19">
        <f>'HỢP ĐỒNG'!A77</f>
        <v>59</v>
      </c>
      <c r="B60" s="19" t="s">
        <v>27</v>
      </c>
      <c r="C60" s="20" t="str">
        <f>'HỢP ĐỒNG'!C77</f>
        <v>Dây thắt lưng nam nữ Y2K họa tiết ngôi sao, chất liệu nhựa gải da (PU), mặt khóa mạ màu bạc, KH:OLL403, KT: rộng 2.8cm, dài 105cm+-10%, không hiệu, Nsx: Qingdao fashion Co., Ltd, Mới 100%</v>
      </c>
      <c r="D60" s="21">
        <f>'HỢP ĐỒNG'!I77</f>
        <v>39262090</v>
      </c>
      <c r="E60" s="22" t="s">
        <v>73</v>
      </c>
      <c r="F60" s="23">
        <f>'HỢP ĐỒNG'!E77</f>
        <v>200</v>
      </c>
      <c r="G60" s="396" t="str">
        <f>'INVOICE lam CO'!D73</f>
        <v>PCE</v>
      </c>
      <c r="H60" s="397">
        <v>200</v>
      </c>
      <c r="I60" s="399" t="s">
        <v>143</v>
      </c>
      <c r="J60" s="404">
        <f>'HỢP ĐỒNG'!F77</f>
        <v>0.188</v>
      </c>
      <c r="K60" s="24"/>
      <c r="L60" s="25"/>
      <c r="M60" s="26" t="s">
        <v>97</v>
      </c>
      <c r="Y60" s="27" t="str">
        <f t="shared" si="0"/>
        <v>VB245</v>
      </c>
      <c r="Z60" s="206">
        <f>'HỢP ĐỒNG'!P77</f>
        <v>0.08</v>
      </c>
    </row>
    <row r="61" spans="1:26" ht="30">
      <c r="A61" s="19">
        <f>'HỢP ĐỒNG'!A78</f>
        <v>60</v>
      </c>
      <c r="B61" s="19" t="s">
        <v>27</v>
      </c>
      <c r="C61" s="20" t="str">
        <f>'HỢP ĐỒNG'!C78</f>
        <v>Dây thắt lưng nam nữ Y2K chất liệu nhựa giả da (PU), KT: rộng 2.8cm, dài 105cm+-10%, KH: OLL402, không hiệu, Nsx: Qingdao fashion Co., Ltd, Mới 100%</v>
      </c>
      <c r="D61" s="21">
        <f>'HỢP ĐỒNG'!I78</f>
        <v>39262090</v>
      </c>
      <c r="E61" s="22" t="s">
        <v>73</v>
      </c>
      <c r="F61" s="23">
        <f>'HỢP ĐỒNG'!E78</f>
        <v>100</v>
      </c>
      <c r="G61" s="396" t="str">
        <f>'INVOICE lam CO'!D74</f>
        <v>PCE</v>
      </c>
      <c r="H61" s="397">
        <v>100</v>
      </c>
      <c r="I61" s="399" t="s">
        <v>143</v>
      </c>
      <c r="J61" s="404">
        <f>'HỢP ĐỒNG'!F78</f>
        <v>0.188</v>
      </c>
      <c r="K61" s="24"/>
      <c r="L61" s="25"/>
      <c r="M61" s="26" t="s">
        <v>97</v>
      </c>
      <c r="Y61" s="27" t="str">
        <f t="shared" si="0"/>
        <v>VB245</v>
      </c>
      <c r="Z61" s="206">
        <f>'HỢP ĐỒNG'!P78</f>
        <v>0.08</v>
      </c>
    </row>
    <row r="62" spans="1:26" ht="30">
      <c r="A62" s="19">
        <f>'HỢP ĐỒNG'!A79</f>
        <v>61</v>
      </c>
      <c r="B62" s="19" t="s">
        <v>27</v>
      </c>
      <c r="C62" s="20" t="str">
        <f>'HỢP ĐỒNG'!C79</f>
        <v>Nắp bồn cầu chất liệu nhựa tổng hợp, KT: 445*360mm+-10%, KH: K-4713T, không hiệu,NSX: Toilet Seat Manufacturer (Xiamen), mới 100%</v>
      </c>
      <c r="D62" s="21">
        <f>'HỢP ĐỒNG'!I79</f>
        <v>39222000</v>
      </c>
      <c r="E62" s="22" t="s">
        <v>73</v>
      </c>
      <c r="F62" s="23">
        <f>'HỢP ĐỒNG'!E79</f>
        <v>100</v>
      </c>
      <c r="G62" s="396" t="str">
        <f>'INVOICE lam CO'!D75</f>
        <v>PCE</v>
      </c>
      <c r="H62" s="397">
        <v>100</v>
      </c>
      <c r="I62" s="399" t="s">
        <v>143</v>
      </c>
      <c r="J62" s="404">
        <f>'HỢP ĐỒNG'!F79</f>
        <v>27.14</v>
      </c>
      <c r="K62" s="24"/>
      <c r="L62" s="25"/>
      <c r="M62" s="26" t="s">
        <v>97</v>
      </c>
      <c r="Y62" s="27" t="str">
        <f t="shared" si="0"/>
        <v>VB245</v>
      </c>
      <c r="Z62" s="206">
        <f>'HỢP ĐỒNG'!P79</f>
        <v>0.08</v>
      </c>
    </row>
    <row r="63" spans="1:26" ht="30">
      <c r="A63" s="19">
        <f>'HỢP ĐỒNG'!A80</f>
        <v>62</v>
      </c>
      <c r="B63" s="19" t="s">
        <v>27</v>
      </c>
      <c r="C63" s="20" t="str">
        <f>'HỢP ĐỒNG'!C80</f>
        <v>Bàn chải cọ rửa vệ sinh bình sữa, chất liệu nhựa tổng hợp, KT:28*6,5cm+-10%, không hiệu, NSX: Guangdong Stationery Co., Ltd.,mới 100%</v>
      </c>
      <c r="D63" s="21">
        <f>'HỢP ĐỒNG'!I80</f>
        <v>96039040</v>
      </c>
      <c r="E63" s="22" t="s">
        <v>73</v>
      </c>
      <c r="F63" s="23">
        <f>'HỢP ĐỒNG'!E80</f>
        <v>900</v>
      </c>
      <c r="G63" s="396" t="str">
        <f>'INVOICE lam CO'!D76</f>
        <v>PCE</v>
      </c>
      <c r="H63" s="397">
        <v>900</v>
      </c>
      <c r="I63" s="399" t="s">
        <v>143</v>
      </c>
      <c r="J63" s="404">
        <f>'HỢP ĐỒNG'!F80</f>
        <v>0.17</v>
      </c>
      <c r="K63" s="24"/>
      <c r="L63" s="25"/>
      <c r="M63" s="26" t="s">
        <v>97</v>
      </c>
      <c r="Y63" s="27" t="str">
        <f t="shared" si="0"/>
        <v>VB245</v>
      </c>
      <c r="Z63" s="206">
        <f>'HỢP ĐỒNG'!P80</f>
        <v>0.08</v>
      </c>
    </row>
    <row r="64" spans="1:26" ht="45">
      <c r="A64" s="19">
        <f>'HỢP ĐỒNG'!A81</f>
        <v>63</v>
      </c>
      <c r="B64" s="19" t="s">
        <v>27</v>
      </c>
      <c r="C64" s="20" t="str">
        <f>'HỢP ĐỒNG'!C81</f>
        <v>Bộ khóa cửa dùng cho cửa cuốn gồm thân khóa, 3 chìa dẹt và phụ kiện lắp đặt, chất liệu sắt kết hợp nhựa, KT:4*20cm+-10%, không hiệu, Nsx: Zhejiang Zhiyuan Factory, mới 100%</v>
      </c>
      <c r="D64" s="21">
        <f>'HỢP ĐỒNG'!I81</f>
        <v>83014020</v>
      </c>
      <c r="E64" s="22" t="s">
        <v>73</v>
      </c>
      <c r="F64" s="23">
        <f>'HỢP ĐỒNG'!E81</f>
        <v>1000</v>
      </c>
      <c r="G64" s="396" t="str">
        <f>'INVOICE lam CO'!D77</f>
        <v>SET</v>
      </c>
      <c r="H64" s="398">
        <v>1000</v>
      </c>
      <c r="I64" s="399" t="s">
        <v>154</v>
      </c>
      <c r="J64" s="404">
        <f>'HỢP ĐỒNG'!F81</f>
        <v>1.88</v>
      </c>
      <c r="K64" s="24"/>
      <c r="L64" s="25"/>
      <c r="M64" s="26" t="s">
        <v>97</v>
      </c>
      <c r="Y64" s="27" t="str">
        <f t="shared" si="0"/>
        <v>VB245</v>
      </c>
      <c r="Z64" s="206">
        <f>'HỢP ĐỒNG'!P81</f>
        <v>0.08</v>
      </c>
    </row>
    <row r="65" spans="1:26" ht="45">
      <c r="A65" s="19">
        <f>'HỢP ĐỒNG'!A82</f>
        <v>64</v>
      </c>
      <c r="B65" s="19" t="s">
        <v>27</v>
      </c>
      <c r="C65" s="20" t="str">
        <f>'HỢP ĐỒNG'!C82</f>
        <v>Bộ khóa cửa dùng cho cửa cuốn gồm thân khóa, 4 chìa chữ thập và phụ kiện lắp đặt, chất liệu sắt kết hợp nhựa, KT:4*20cm+-10%, không hiệu, Nsx: Zhejiang Zhiyuan Factory, mới 100%</v>
      </c>
      <c r="D65" s="21">
        <f>'HỢP ĐỒNG'!I82</f>
        <v>83014020</v>
      </c>
      <c r="E65" s="22" t="s">
        <v>73</v>
      </c>
      <c r="F65" s="23">
        <f>'HỢP ĐỒNG'!E82</f>
        <v>1000</v>
      </c>
      <c r="G65" s="396" t="str">
        <f>'INVOICE lam CO'!D78</f>
        <v>SET</v>
      </c>
      <c r="H65" s="398">
        <v>1000</v>
      </c>
      <c r="I65" s="399" t="s">
        <v>154</v>
      </c>
      <c r="J65" s="404">
        <f>'HỢP ĐỒNG'!F82</f>
        <v>3.39</v>
      </c>
      <c r="K65" s="24"/>
      <c r="L65" s="25"/>
      <c r="M65" s="26" t="s">
        <v>97</v>
      </c>
      <c r="Y65" s="27" t="str">
        <f t="shared" si="0"/>
        <v>VB245</v>
      </c>
      <c r="Z65" s="206">
        <f>'HỢP ĐỒNG'!P82</f>
        <v>0.08</v>
      </c>
    </row>
    <row r="66" spans="1:26" ht="45">
      <c r="A66" s="19">
        <f>'HỢP ĐỒNG'!A83</f>
        <v>65</v>
      </c>
      <c r="B66" s="19" t="s">
        <v>27</v>
      </c>
      <c r="C66" s="20" t="str">
        <f>'HỢP ĐỒNG'!C83</f>
        <v>Dải nhựa dạng cuộn dùng để bọc cạnh bàn chống va đập, bằng nhựa PVC xốp 1 mặt tự dính, KT: dài 200x3cm +/-10%.không hiệu.Nsx: Taizhou Plastic Mould. mới 100%</v>
      </c>
      <c r="D66" s="21">
        <f>'HỢP ĐỒNG'!I83</f>
        <v>39191010</v>
      </c>
      <c r="E66" s="22" t="s">
        <v>73</v>
      </c>
      <c r="F66" s="23">
        <f>'HỢP ĐỒNG'!E83</f>
        <v>560</v>
      </c>
      <c r="G66" s="396" t="str">
        <f>'INVOICE lam CO'!D79</f>
        <v>ROL</v>
      </c>
      <c r="H66" s="397">
        <v>47</v>
      </c>
      <c r="I66" s="399" t="s">
        <v>80</v>
      </c>
      <c r="J66" s="404">
        <f>'HỢP ĐỒNG'!F83</f>
        <v>0.188</v>
      </c>
      <c r="K66" s="24"/>
      <c r="L66" s="25"/>
      <c r="M66" s="26" t="s">
        <v>97</v>
      </c>
      <c r="Y66" s="27" t="str">
        <f t="shared" si="0"/>
        <v>VB245</v>
      </c>
      <c r="Z66" s="206">
        <f>'HỢP ĐỒNG'!P83</f>
        <v>0.08</v>
      </c>
    </row>
    <row r="67" spans="1:26" ht="45">
      <c r="A67" s="19">
        <f>'HỢP ĐỒNG'!A84</f>
        <v>66</v>
      </c>
      <c r="B67" s="19" t="s">
        <v>27</v>
      </c>
      <c r="C67" s="20" t="str">
        <f>'HỢP ĐỒNG'!C84</f>
        <v>Dải nhựa dạng cuộn dùng để bọc cạnh bàn chống va đập, bằng nhựa PVC xốp 1 mặt tự dính, KT: dài 200x8cm +/-10%.không hiệu.Nsx: Taizhou Plastic Mould. mới 100%</v>
      </c>
      <c r="D67" s="21">
        <f>'HỢP ĐỒNG'!I84</f>
        <v>39191010</v>
      </c>
      <c r="E67" s="22" t="s">
        <v>73</v>
      </c>
      <c r="F67" s="23">
        <f>'HỢP ĐỒNG'!E84</f>
        <v>1500</v>
      </c>
      <c r="G67" s="396" t="str">
        <f>'INVOICE lam CO'!D80</f>
        <v>ROL</v>
      </c>
      <c r="H67" s="397">
        <v>120</v>
      </c>
      <c r="I67" s="399" t="s">
        <v>80</v>
      </c>
      <c r="J67" s="404">
        <f>'HỢP ĐỒNG'!F84</f>
        <v>0.38</v>
      </c>
      <c r="K67" s="24"/>
      <c r="L67" s="25"/>
      <c r="M67" s="26" t="s">
        <v>97</v>
      </c>
      <c r="Y67" s="27" t="str">
        <f t="shared" ref="Y67:Y122" si="1">IF(Z67=8%,"VB245",IF(Z67=10%,"VB901",IF(Z67=5%,"VB185","")))</f>
        <v>VB245</v>
      </c>
      <c r="Z67" s="206">
        <f>'HỢP ĐỒNG'!P84</f>
        <v>0.08</v>
      </c>
    </row>
    <row r="68" spans="1:26" ht="45">
      <c r="A68" s="19">
        <f>'HỢP ĐỒNG'!A85</f>
        <v>67</v>
      </c>
      <c r="B68" s="19"/>
      <c r="C68" s="20" t="str">
        <f>'HỢP ĐỒNG'!C85</f>
        <v>Dải nhựa dạng cuộn dùng để bọc cạnh bàn chống va đập, bằng nhựa PVC xốp 1 mặt tự dính, KT: dài 200x5cm +/-10%.không hiệu.Nsx: Taizhou Plastic Mould. mới 100%</v>
      </c>
      <c r="D68" s="21">
        <f>'HỢP ĐỒNG'!I85</f>
        <v>39191010</v>
      </c>
      <c r="E68" s="22" t="s">
        <v>73</v>
      </c>
      <c r="F68" s="23">
        <f>'HỢP ĐỒNG'!E85</f>
        <v>480</v>
      </c>
      <c r="G68" s="396" t="str">
        <f>'INVOICE lam CO'!D81</f>
        <v>ROL</v>
      </c>
      <c r="H68" s="397">
        <v>34</v>
      </c>
      <c r="I68" s="399" t="s">
        <v>80</v>
      </c>
      <c r="J68" s="404">
        <f>'HỢP ĐỒNG'!F85</f>
        <v>0.22600000000000001</v>
      </c>
      <c r="K68" s="24"/>
      <c r="L68" s="25"/>
      <c r="M68" s="26" t="s">
        <v>97</v>
      </c>
      <c r="Y68" s="27" t="str">
        <f t="shared" si="1"/>
        <v>VB245</v>
      </c>
      <c r="Z68" s="206">
        <f>'HỢP ĐỒNG'!P85</f>
        <v>0.08</v>
      </c>
    </row>
    <row r="69" spans="1:26" ht="45">
      <c r="A69" s="19">
        <f>'HỢP ĐỒNG'!A86</f>
        <v>68</v>
      </c>
      <c r="B69" s="19"/>
      <c r="C69" s="20" t="str">
        <f>'HỢP ĐỒNG'!C86</f>
        <v>Miếng nhựa bọc góc bàn chữ L chống va đập, bằng nhựa PVC xốp, 1 mặt tự dính, 5 cái/ túi, KT: dài 3.5x6cm +/-10%.không hiệu.Nsx: Taizhou Plastic Mould. mới 100%</v>
      </c>
      <c r="D69" s="21">
        <f>'HỢP ĐỒNG'!I86</f>
        <v>39269099</v>
      </c>
      <c r="E69" s="22" t="s">
        <v>73</v>
      </c>
      <c r="F69" s="23">
        <f>'HỢP ĐỒNG'!E86</f>
        <v>800</v>
      </c>
      <c r="G69" s="396" t="str">
        <f>'INVOICE lam CO'!D82</f>
        <v>PCE</v>
      </c>
      <c r="H69" s="397">
        <v>800</v>
      </c>
      <c r="I69" s="399" t="s">
        <v>143</v>
      </c>
      <c r="J69" s="404">
        <f>'HỢP ĐỒNG'!F86</f>
        <v>0.3</v>
      </c>
      <c r="K69" s="24"/>
      <c r="L69" s="25"/>
      <c r="M69" s="26" t="s">
        <v>97</v>
      </c>
      <c r="Y69" s="27" t="str">
        <f t="shared" si="1"/>
        <v>VB245</v>
      </c>
      <c r="Z69" s="206">
        <f>'HỢP ĐỒNG'!P86</f>
        <v>0.08</v>
      </c>
    </row>
    <row r="70" spans="1:26" ht="45">
      <c r="A70" s="19">
        <f>'HỢP ĐỒNG'!A87</f>
        <v>69</v>
      </c>
      <c r="B70" s="19"/>
      <c r="C70" s="20" t="str">
        <f>'HỢP ĐỒNG'!C87</f>
        <v>Bộ lọc dầu dùng cho máy nén khí trục vít QX105047. KT: 114x40x230mm+-10%, lưu lượng:120-180l/p, đk ren:38mm, không hiệu. NSX: Jiangxi Sange Filter. Mới 100%</v>
      </c>
      <c r="D70" s="21">
        <f>'HỢP ĐỒNG'!I87</f>
        <v>84212950</v>
      </c>
      <c r="E70" s="22" t="s">
        <v>73</v>
      </c>
      <c r="F70" s="23">
        <f>'HỢP ĐỒNG'!E87</f>
        <v>18</v>
      </c>
      <c r="G70" s="396" t="str">
        <f>'INVOICE lam CO'!D83</f>
        <v>PCE</v>
      </c>
      <c r="H70" s="397">
        <v>18</v>
      </c>
      <c r="I70" s="399" t="s">
        <v>143</v>
      </c>
      <c r="J70" s="404">
        <f>'HỢP ĐỒNG'!F87</f>
        <v>148.9</v>
      </c>
      <c r="K70" s="24"/>
      <c r="L70" s="25"/>
      <c r="M70" s="26" t="s">
        <v>97</v>
      </c>
      <c r="Y70" s="27" t="str">
        <f t="shared" si="1"/>
        <v>VB245</v>
      </c>
      <c r="Z70" s="206">
        <f>'HỢP ĐỒNG'!P87</f>
        <v>0.08</v>
      </c>
    </row>
    <row r="71" spans="1:26" ht="30">
      <c r="A71" s="19">
        <f>'HỢP ĐỒNG'!A88</f>
        <v>70</v>
      </c>
      <c r="B71" s="19"/>
      <c r="C71" s="20" t="str">
        <f>'HỢP ĐỒNG'!C88</f>
        <v>Bộ lọc dầu dùng cho máy nén khí trục vít 04425274. KT: 1135*308*100mm+-10%, lưu lượng:120-180l/p, đk ren 38mm, không hiệu. Nsx: Ingersoll Rand. Mới 100%</v>
      </c>
      <c r="D71" s="21">
        <f>'HỢP ĐỒNG'!I88</f>
        <v>84212950</v>
      </c>
      <c r="E71" s="22" t="s">
        <v>73</v>
      </c>
      <c r="F71" s="23">
        <f>'HỢP ĐỒNG'!E88</f>
        <v>10</v>
      </c>
      <c r="G71" s="396" t="str">
        <f>'INVOICE lam CO'!D84</f>
        <v>PCE</v>
      </c>
      <c r="H71" s="397">
        <v>10</v>
      </c>
      <c r="I71" s="399" t="s">
        <v>143</v>
      </c>
      <c r="J71" s="404">
        <f>'HỢP ĐỒNG'!F88</f>
        <v>122.52</v>
      </c>
      <c r="K71" s="24"/>
      <c r="L71" s="25"/>
      <c r="M71" s="26" t="s">
        <v>97</v>
      </c>
      <c r="Y71" s="27" t="str">
        <f t="shared" si="1"/>
        <v>VB245</v>
      </c>
      <c r="Z71" s="206">
        <f>'HỢP ĐỒNG'!P88</f>
        <v>0.08</v>
      </c>
    </row>
    <row r="72" spans="1:26" ht="45">
      <c r="A72" s="19">
        <f>'HỢP ĐỒNG'!A89</f>
        <v>71</v>
      </c>
      <c r="B72" s="19"/>
      <c r="C72" s="20" t="str">
        <f>'HỢP ĐỒNG'!C89</f>
        <v>Bộ điều khiển cửa cuốn gồm 1 hộp tín hiệu trung tâm và 3 tay khiển, loại điều khiển bằng sóng hồng ngoại, vỏ bằng nhựa tổng hợp, không chứa dữ liệu, MMDS, sử dụng pin 23A/12V, hiệu: Macdoor. Mới 100%</v>
      </c>
      <c r="D72" s="21">
        <f>'HỢP ĐỒNG'!I89</f>
        <v>85437029</v>
      </c>
      <c r="E72" s="22" t="s">
        <v>73</v>
      </c>
      <c r="F72" s="23">
        <f>'HỢP ĐỒNG'!E89</f>
        <v>500</v>
      </c>
      <c r="G72" s="396" t="str">
        <f>'INVOICE lam CO'!D85</f>
        <v>SET</v>
      </c>
      <c r="H72" s="397">
        <v>2000</v>
      </c>
      <c r="I72" s="399" t="s">
        <v>143</v>
      </c>
      <c r="J72" s="404">
        <f>'HỢP ĐỒNG'!F89</f>
        <v>18.850000000000001</v>
      </c>
      <c r="K72" s="24"/>
      <c r="L72" s="25"/>
      <c r="M72" s="26" t="s">
        <v>97</v>
      </c>
      <c r="Y72" s="27" t="str">
        <f t="shared" si="1"/>
        <v>VB245</v>
      </c>
      <c r="Z72" s="206">
        <f>'HỢP ĐỒNG'!P89</f>
        <v>0.08</v>
      </c>
    </row>
    <row r="73" spans="1:26" ht="45">
      <c r="A73" s="19">
        <f>'HỢP ĐỒNG'!A90</f>
        <v>72</v>
      </c>
      <c r="B73" s="19"/>
      <c r="C73" s="20" t="str">
        <f>'HỢP ĐỒNG'!C90</f>
        <v>Bộ điều khiển cửa cuốn gồm 1 hộp tín hiệu trung tâm và 2 tay khiển, loại điều khiển bằng sóng hồng ngoại, không chứa dữ liệu, MMDS, sử dụng pin 23A/12V, hiệu: Safety controller. Mới 100%</v>
      </c>
      <c r="D73" s="21">
        <f>'HỢP ĐỒNG'!I90</f>
        <v>85437029</v>
      </c>
      <c r="E73" s="22" t="s">
        <v>73</v>
      </c>
      <c r="F73" s="23">
        <f>'HỢP ĐỒNG'!E90</f>
        <v>700</v>
      </c>
      <c r="G73" s="396" t="str">
        <f>'INVOICE lam CO'!D86</f>
        <v>SET</v>
      </c>
      <c r="H73" s="397">
        <v>2100</v>
      </c>
      <c r="I73" s="399" t="s">
        <v>143</v>
      </c>
      <c r="J73" s="404">
        <f>'HỢP ĐỒNG'!F90</f>
        <v>11.31</v>
      </c>
      <c r="K73" s="24"/>
      <c r="L73" s="25"/>
      <c r="M73" s="26" t="s">
        <v>97</v>
      </c>
      <c r="Y73" s="27" t="str">
        <f t="shared" si="1"/>
        <v>VB245</v>
      </c>
      <c r="Z73" s="206">
        <f>'HỢP ĐỒNG'!P90</f>
        <v>0.08</v>
      </c>
    </row>
    <row r="74" spans="1:26" ht="45">
      <c r="A74" s="19">
        <f>'HỢP ĐỒNG'!A91</f>
        <v>73</v>
      </c>
      <c r="B74" s="19"/>
      <c r="C74" s="20" t="str">
        <f>'HỢP ĐỒNG'!C91</f>
        <v>Bàn chải cọ rửa vệ sinh đa năng loại không dùng điện, tay cầm bằng nhựa mặt cọ bằng miếng bọt biển mút xốp. KT: dài 30*8*5cm +/-10, không hiệu, Nsx: Picc property and casualty Co.,ltd, mới 100%</v>
      </c>
      <c r="D74" s="21">
        <f>'HỢP ĐỒNG'!I91</f>
        <v>96039040</v>
      </c>
      <c r="E74" s="22" t="s">
        <v>73</v>
      </c>
      <c r="F74" s="23">
        <f>'HỢP ĐỒNG'!E91</f>
        <v>980</v>
      </c>
      <c r="G74" s="396" t="str">
        <f>'INVOICE lam CO'!D87</f>
        <v>PCE</v>
      </c>
      <c r="H74" s="397">
        <v>980</v>
      </c>
      <c r="I74" s="399" t="s">
        <v>143</v>
      </c>
      <c r="J74" s="404">
        <f>'HỢP ĐỒNG'!F91</f>
        <v>0.3</v>
      </c>
      <c r="K74" s="24"/>
      <c r="L74" s="25"/>
      <c r="M74" s="26" t="s">
        <v>97</v>
      </c>
      <c r="Y74" s="27" t="str">
        <f t="shared" si="1"/>
        <v>VB245</v>
      </c>
      <c r="Z74" s="206">
        <f>'HỢP ĐỒNG'!P91</f>
        <v>0.08</v>
      </c>
    </row>
    <row r="75" spans="1:26" ht="30">
      <c r="A75" s="19">
        <f>'HỢP ĐỒNG'!A92</f>
        <v>74</v>
      </c>
      <c r="B75" s="19"/>
      <c r="C75" s="20" t="str">
        <f>'HỢP ĐỒNG'!C92</f>
        <v>Động cơ vạn năng dây đồng xoay chiều/1 chiều, dùng cho máy xay thực phẩm, Đ/a: 220V/24V, cs: 600w, Không hiệu. Nsx: Wenzhou Feiding Motor. Mới 100%</v>
      </c>
      <c r="D75" s="21">
        <f>'HỢP ĐỒNG'!I92</f>
        <v>85012012</v>
      </c>
      <c r="E75" s="22" t="s">
        <v>73</v>
      </c>
      <c r="F75" s="23">
        <f>'HỢP ĐỒNG'!E92</f>
        <v>128</v>
      </c>
      <c r="G75" s="396" t="str">
        <f>'INVOICE lam CO'!D88</f>
        <v>PCE</v>
      </c>
      <c r="H75" s="397">
        <v>128</v>
      </c>
      <c r="I75" s="399" t="s">
        <v>143</v>
      </c>
      <c r="J75" s="404">
        <f>'HỢP ĐỒNG'!F92</f>
        <v>6.03</v>
      </c>
      <c r="K75" s="24"/>
      <c r="L75" s="25"/>
      <c r="M75" s="26" t="s">
        <v>97</v>
      </c>
      <c r="Y75" s="27" t="str">
        <f t="shared" si="1"/>
        <v>VB245</v>
      </c>
      <c r="Z75" s="206">
        <f>'HỢP ĐỒNG'!P92</f>
        <v>0.08</v>
      </c>
    </row>
    <row r="76" spans="1:26" ht="45">
      <c r="A76" s="19">
        <f>'HỢP ĐỒNG'!A93</f>
        <v>75</v>
      </c>
      <c r="B76" s="19"/>
      <c r="C76" s="20" t="str">
        <f>'HỢP ĐỒNG'!C93</f>
        <v>Động cơ vạn năng 7712 dây đồng xoay chiều/1 chiều dùng để chế tạo các loại máy công cụ mini cầm tay, đ/a: 220v/12V. cs: 200w, Không hiệu. Nsx: Wenzhou Feiding Motor. Mới 100%</v>
      </c>
      <c r="D76" s="21">
        <f>'HỢP ĐỒNG'!I93</f>
        <v>85012019</v>
      </c>
      <c r="E76" s="22" t="s">
        <v>73</v>
      </c>
      <c r="F76" s="23">
        <f>'HỢP ĐỒNG'!E93</f>
        <v>1000</v>
      </c>
      <c r="G76" s="396" t="str">
        <f>'INVOICE lam CO'!D89</f>
        <v>PCE</v>
      </c>
      <c r="H76" s="398">
        <v>1000</v>
      </c>
      <c r="I76" s="399" t="s">
        <v>143</v>
      </c>
      <c r="J76" s="404">
        <f>'HỢP ĐỒNG'!F93</f>
        <v>1.06</v>
      </c>
      <c r="K76" s="24"/>
      <c r="L76" s="25"/>
      <c r="M76" s="26" t="s">
        <v>97</v>
      </c>
      <c r="Y76" s="27" t="str">
        <f t="shared" si="1"/>
        <v>VB245</v>
      </c>
      <c r="Z76" s="206">
        <f>'HỢP ĐỒNG'!P93</f>
        <v>0.08</v>
      </c>
    </row>
    <row r="77" spans="1:26" ht="45">
      <c r="A77" s="19">
        <f>'HỢP ĐỒNG'!A94</f>
        <v>76</v>
      </c>
      <c r="B77" s="19"/>
      <c r="C77" s="20" t="str">
        <f>'HỢP ĐỒNG'!C94</f>
        <v>Khay nhựa tổng hợp vân kim cương, dùng để đựng đồ trang điểm, trang sức (không chứa đựng thực phẩm), KT: (24*15-18*18)cm+/-10%, không hiệu, Nsx: Dongguan Huashuo Industrial Co., Ltd., mới 100%</v>
      </c>
      <c r="D77" s="21">
        <f>'HỢP ĐỒNG'!I94</f>
        <v>39249090</v>
      </c>
      <c r="E77" s="22" t="s">
        <v>73</v>
      </c>
      <c r="F77" s="23">
        <f>'HỢP ĐỒNG'!E94</f>
        <v>200</v>
      </c>
      <c r="G77" s="396" t="str">
        <f>'INVOICE lam CO'!D90</f>
        <v>PCE</v>
      </c>
      <c r="H77" s="397">
        <v>200</v>
      </c>
      <c r="I77" s="399" t="s">
        <v>143</v>
      </c>
      <c r="J77" s="404">
        <f>'HỢP ĐỒNG'!F94</f>
        <v>1.69</v>
      </c>
      <c r="K77" s="24"/>
      <c r="L77" s="25"/>
      <c r="M77" s="26" t="s">
        <v>97</v>
      </c>
      <c r="Y77" s="27" t="str">
        <f t="shared" si="1"/>
        <v>VB245</v>
      </c>
      <c r="Z77" s="206">
        <f>'HỢP ĐỒNG'!P94</f>
        <v>0.08</v>
      </c>
    </row>
    <row r="78" spans="1:26" ht="30">
      <c r="A78" s="19">
        <f>'HỢP ĐỒNG'!A95</f>
        <v>77</v>
      </c>
      <c r="B78" s="19"/>
      <c r="C78" s="20" t="str">
        <f>'HỢP ĐỒNG'!C95</f>
        <v>Giày thể thao beier viền xanh, viền xám, đế giày bằng cao su mềm, thân và mũi giày bằng da tổng hợp phối vải lưới, màu trắng size 36-40, hiệu Beier, mới 100%</v>
      </c>
      <c r="D78" s="21">
        <f>'HỢP ĐỒNG'!I95</f>
        <v>64051000</v>
      </c>
      <c r="E78" s="22" t="s">
        <v>73</v>
      </c>
      <c r="F78" s="23">
        <f>'HỢP ĐỒNG'!E95</f>
        <v>130</v>
      </c>
      <c r="G78" s="396" t="str">
        <f>'INVOICE lam CO'!D91</f>
        <v>PR</v>
      </c>
      <c r="H78" s="397">
        <v>130</v>
      </c>
      <c r="I78" s="399" t="s">
        <v>153</v>
      </c>
      <c r="J78" s="404">
        <f>'HỢP ĐỒNG'!F95</f>
        <v>3.02</v>
      </c>
      <c r="K78" s="24"/>
      <c r="L78" s="25"/>
      <c r="M78" s="26" t="s">
        <v>97</v>
      </c>
      <c r="Y78" s="27" t="str">
        <f t="shared" si="1"/>
        <v>VB245</v>
      </c>
      <c r="Z78" s="206">
        <f>'HỢP ĐỒNG'!P95</f>
        <v>0.08</v>
      </c>
    </row>
    <row r="79" spans="1:26" ht="30">
      <c r="A79" s="19">
        <f>'HỢP ĐỒNG'!A96</f>
        <v>78</v>
      </c>
      <c r="B79" s="19"/>
      <c r="C79" s="20" t="str">
        <f>'HỢP ĐỒNG'!C96</f>
        <v>Giày sneaker beier kitty, đế giày bằng cao su mềm, thân và mũi giày bằng da tổng hợp phối vải lưới, 2 màu hồng , be, size 36-40, hiệu Beier, mới 100%</v>
      </c>
      <c r="D79" s="21">
        <f>'HỢP ĐỒNG'!I96</f>
        <v>64051000</v>
      </c>
      <c r="E79" s="22" t="s">
        <v>73</v>
      </c>
      <c r="F79" s="23">
        <f>'HỢP ĐỒNG'!E96</f>
        <v>75</v>
      </c>
      <c r="G79" s="396" t="str">
        <f>'INVOICE lam CO'!D92</f>
        <v>PR</v>
      </c>
      <c r="H79" s="397">
        <v>75</v>
      </c>
      <c r="I79" s="399" t="s">
        <v>153</v>
      </c>
      <c r="J79" s="404">
        <f>'HỢP ĐỒNG'!F96</f>
        <v>3.02</v>
      </c>
      <c r="K79" s="24"/>
      <c r="L79" s="25"/>
      <c r="M79" s="26" t="s">
        <v>97</v>
      </c>
      <c r="Y79" s="27" t="str">
        <f t="shared" si="1"/>
        <v>VB245</v>
      </c>
      <c r="Z79" s="206">
        <f>'HỢP ĐỒNG'!P96</f>
        <v>0.08</v>
      </c>
    </row>
    <row r="80" spans="1:26" ht="30">
      <c r="A80" s="19">
        <f>'HỢP ĐỒNG'!A97</f>
        <v>79</v>
      </c>
      <c r="B80" s="19"/>
      <c r="C80" s="20" t="str">
        <f>'HỢP ĐỒNG'!C97</f>
        <v>Giày búp bê nữ beier, đế giày bằng cao su mềm, thân và mũi giày bằng da tổng hợp phối vải lưới, 2 màu be, trắng size 36-40, hiệu Beier, mới 100%</v>
      </c>
      <c r="D80" s="21">
        <f>'HỢP ĐỒNG'!I97</f>
        <v>64051000</v>
      </c>
      <c r="E80" s="22" t="s">
        <v>73</v>
      </c>
      <c r="F80" s="23">
        <f>'HỢP ĐỒNG'!E97</f>
        <v>180</v>
      </c>
      <c r="G80" s="396" t="str">
        <f>'INVOICE lam CO'!D93</f>
        <v>PR</v>
      </c>
      <c r="H80" s="397">
        <v>180</v>
      </c>
      <c r="I80" s="399" t="s">
        <v>153</v>
      </c>
      <c r="J80" s="404">
        <f>'HỢP ĐỒNG'!F97</f>
        <v>3.02</v>
      </c>
      <c r="K80" s="24"/>
      <c r="L80" s="25"/>
      <c r="M80" s="26" t="s">
        <v>97</v>
      </c>
      <c r="Y80" s="27" t="str">
        <f t="shared" si="1"/>
        <v>VB245</v>
      </c>
      <c r="Z80" s="206">
        <f>'HỢP ĐỒNG'!P97</f>
        <v>0.08</v>
      </c>
    </row>
    <row r="81" spans="1:26" ht="30">
      <c r="A81" s="19">
        <f>'HỢP ĐỒNG'!A98</f>
        <v>80</v>
      </c>
      <c r="B81" s="19"/>
      <c r="C81" s="20" t="str">
        <f>'HỢP ĐỒNG'!C98</f>
        <v>Đồng hồ đo nhiệt độ và độ ẩm cơ học (Th600B) đo không khí trong phòng, không dùng điện, chất liệu inox. KT: (20.5*16)cm+/-10%, hiệu: ANYMETRE, mới 100%</v>
      </c>
      <c r="D81" s="21">
        <f>'HỢP ĐỒNG'!I98</f>
        <v>90258000</v>
      </c>
      <c r="E81" s="22" t="s">
        <v>73</v>
      </c>
      <c r="F81" s="23">
        <f>'HỢP ĐỒNG'!E98</f>
        <v>400</v>
      </c>
      <c r="G81" s="396" t="str">
        <f>'INVOICE lam CO'!D94</f>
        <v>PCE</v>
      </c>
      <c r="H81" s="397">
        <v>400</v>
      </c>
      <c r="I81" s="399" t="s">
        <v>143</v>
      </c>
      <c r="J81" s="404">
        <f>'HỢP ĐỒNG'!F98</f>
        <v>1.88</v>
      </c>
      <c r="K81" s="24"/>
      <c r="L81" s="25"/>
      <c r="M81" s="26" t="s">
        <v>97</v>
      </c>
      <c r="Y81" s="27" t="str">
        <f t="shared" si="1"/>
        <v>VB245</v>
      </c>
      <c r="Z81" s="206">
        <f>'HỢP ĐỒNG'!P98</f>
        <v>0.08</v>
      </c>
    </row>
    <row r="82" spans="1:26" ht="30">
      <c r="A82" s="19">
        <f>'HỢP ĐỒNG'!A99</f>
        <v>81</v>
      </c>
      <c r="B82" s="19"/>
      <c r="C82" s="20" t="str">
        <f>'HỢP ĐỒNG'!C99</f>
        <v>Đế nhựa dùng để cắm hoa bằng nhựa ABS, KT: 6.8*4.4cm, không hiệu, NSX: Ningbo Bonais Stationery Co., Ltd., mới 100%</v>
      </c>
      <c r="D82" s="21">
        <f>'HỢP ĐỒNG'!I99</f>
        <v>39269099</v>
      </c>
      <c r="E82" s="22" t="s">
        <v>73</v>
      </c>
      <c r="F82" s="23">
        <f>'HỢP ĐỒNG'!E99</f>
        <v>1600</v>
      </c>
      <c r="G82" s="396" t="str">
        <f>'INVOICE lam CO'!D95</f>
        <v>PCE</v>
      </c>
      <c r="H82" s="398">
        <v>1600</v>
      </c>
      <c r="I82" s="399" t="s">
        <v>143</v>
      </c>
      <c r="J82" s="404">
        <f>'HỢP ĐỒNG'!F99</f>
        <v>9.4E-2</v>
      </c>
      <c r="K82" s="24"/>
      <c r="L82" s="25"/>
      <c r="M82" s="26" t="s">
        <v>97</v>
      </c>
      <c r="Y82" s="27" t="str">
        <f t="shared" si="1"/>
        <v>VB245</v>
      </c>
      <c r="Z82" s="206">
        <f>'HỢP ĐỒNG'!P99</f>
        <v>0.08</v>
      </c>
    </row>
    <row r="83" spans="1:26" ht="30">
      <c r="A83" s="19">
        <f>'HỢP ĐỒNG'!A100</f>
        <v>82</v>
      </c>
      <c r="B83" s="19"/>
      <c r="C83" s="20" t="str">
        <f>'HỢP ĐỒNG'!C100</f>
        <v>Tấm lưới chắn thùng xe container bằng sợi vải dù polyester, KT:2.4m*2.6m+-10%, không hiệu, NSX: Shandong Zhongxian Rope &amp; Net Co., Ltd, mới 100%</v>
      </c>
      <c r="D83" s="21">
        <f>'HỢP ĐỒNG'!I100</f>
        <v>56081990</v>
      </c>
      <c r="E83" s="22" t="s">
        <v>73</v>
      </c>
      <c r="F83" s="23">
        <f>'HỢP ĐỒNG'!E100</f>
        <v>2768</v>
      </c>
      <c r="G83" s="396" t="str">
        <f>'INVOICE lam CO'!D96</f>
        <v>PCE</v>
      </c>
      <c r="H83" s="397">
        <v>1050</v>
      </c>
      <c r="I83" s="399" t="s">
        <v>80</v>
      </c>
      <c r="J83" s="404">
        <f>'HỢP ĐỒNG'!F100</f>
        <v>1.32</v>
      </c>
      <c r="K83" s="24"/>
      <c r="L83" s="25"/>
      <c r="M83" s="26" t="s">
        <v>97</v>
      </c>
      <c r="Y83" s="27" t="str">
        <f t="shared" si="1"/>
        <v>VB245</v>
      </c>
      <c r="Z83" s="206">
        <f>'HỢP ĐỒNG'!P100</f>
        <v>0.08</v>
      </c>
    </row>
    <row r="84" spans="1:26" ht="45">
      <c r="A84" s="19">
        <f>'HỢP ĐỒNG'!A101</f>
        <v>83</v>
      </c>
      <c r="B84" s="19"/>
      <c r="C84" s="20" t="str">
        <f>'HỢP ĐỒNG'!C101</f>
        <v>Đèn vòm bán nguyệt chuyên dụng lắp trên bàn làm nail, spa, sử dụng nguồn sáng đi-ốt phát quang LED không phải quang điện, model:2415. CS:36W/AC100-240V. Không hiệu. NSX:Zhongshan Ledlighning. Mới 100%</v>
      </c>
      <c r="D84" s="21">
        <f>'HỢP ĐỒNG'!I101</f>
        <v>94054290</v>
      </c>
      <c r="E84" s="22" t="s">
        <v>73</v>
      </c>
      <c r="F84" s="23">
        <f>'HỢP ĐỒNG'!E101</f>
        <v>600</v>
      </c>
      <c r="G84" s="396" t="str">
        <f>'INVOICE lam CO'!D97</f>
        <v>PCE</v>
      </c>
      <c r="H84" s="397">
        <v>600</v>
      </c>
      <c r="I84" s="399" t="s">
        <v>143</v>
      </c>
      <c r="J84" s="404">
        <f>'HỢP ĐỒNG'!F101</f>
        <v>20.73</v>
      </c>
      <c r="K84" s="24"/>
      <c r="L84" s="25"/>
      <c r="M84" s="26" t="s">
        <v>97</v>
      </c>
      <c r="Y84" s="27" t="str">
        <f t="shared" si="1"/>
        <v>VB245</v>
      </c>
      <c r="Z84" s="206">
        <f>'HỢP ĐỒNG'!P101</f>
        <v>0.08</v>
      </c>
    </row>
    <row r="85" spans="1:26" ht="45">
      <c r="A85" s="19">
        <f>'HỢP ĐỒNG'!A102</f>
        <v>84</v>
      </c>
      <c r="B85" s="19"/>
      <c r="C85" s="20" t="str">
        <f>'HỢP ĐỒNG'!C102</f>
        <v>Dây cáp truyền dẫn tín hiệu âm thanh cho tivi đã gắn đầu nối dài 1.8m, không phải cáp điện, không dùng cho viễn thông, lõi nhôm, cách điện bằng nhựa, dòng 48V, ĐK lõi 1mm.Không hiệu.Mới 100%</v>
      </c>
      <c r="D85" s="21">
        <f>'HỢP ĐỒNG'!I102</f>
        <v>85444299</v>
      </c>
      <c r="E85" s="22" t="s">
        <v>73</v>
      </c>
      <c r="F85" s="23">
        <f>'HỢP ĐỒNG'!E102</f>
        <v>2830</v>
      </c>
      <c r="G85" s="396" t="str">
        <f>'INVOICE lam CO'!D98</f>
        <v>PCE</v>
      </c>
      <c r="H85" s="398">
        <v>2830</v>
      </c>
      <c r="I85" s="399" t="s">
        <v>143</v>
      </c>
      <c r="J85" s="404">
        <f>'HỢP ĐỒNG'!F102</f>
        <v>0.75</v>
      </c>
      <c r="K85" s="24"/>
      <c r="L85" s="25"/>
      <c r="M85" s="26" t="s">
        <v>97</v>
      </c>
      <c r="Y85" s="27" t="str">
        <f t="shared" si="1"/>
        <v>VB245</v>
      </c>
      <c r="Z85" s="206">
        <f>'HỢP ĐỒNG'!P102</f>
        <v>0.08</v>
      </c>
    </row>
    <row r="86" spans="1:26" ht="45">
      <c r="A86" s="19">
        <f>'HỢP ĐỒNG'!A103</f>
        <v>85</v>
      </c>
      <c r="B86" s="19"/>
      <c r="C86" s="20" t="str">
        <f>'HỢP ĐỒNG'!C103</f>
        <v>Dây cáp truyền dẫn tín hiệu âm thanh cho loa và micro, không phải cáp điện, không dùng cho viễn thông, lõi đồng kép, cách điện bằng nhựa, Đk lõi 1mm, 100m/cuộn. Đ/a: 48V.Hiệu Huicheng, mới 100%</v>
      </c>
      <c r="D86" s="21">
        <f>'HỢP ĐỒNG'!I103</f>
        <v>85444299</v>
      </c>
      <c r="E86" s="22" t="s">
        <v>73</v>
      </c>
      <c r="F86" s="23">
        <f>'HỢP ĐỒNG'!E103</f>
        <v>52</v>
      </c>
      <c r="G86" s="396" t="str">
        <f>'INVOICE lam CO'!D99</f>
        <v>ROL</v>
      </c>
      <c r="H86" s="397">
        <v>52</v>
      </c>
      <c r="I86" s="399" t="s">
        <v>179</v>
      </c>
      <c r="J86" s="404">
        <f>'HỢP ĐỒNG'!F103</f>
        <v>26.39</v>
      </c>
      <c r="K86" s="24"/>
      <c r="L86" s="25"/>
      <c r="M86" s="26" t="s">
        <v>97</v>
      </c>
      <c r="Y86" s="27" t="str">
        <f t="shared" si="1"/>
        <v>VB245</v>
      </c>
      <c r="Z86" s="206">
        <f>'HỢP ĐỒNG'!P103</f>
        <v>0.08</v>
      </c>
    </row>
    <row r="87" spans="1:26" ht="45">
      <c r="A87" s="19">
        <f>'HỢP ĐỒNG'!A104</f>
        <v>86</v>
      </c>
      <c r="B87" s="19"/>
      <c r="C87" s="20" t="str">
        <f>'HỢP ĐỒNG'!C104</f>
        <v>Điều khiển tivi từ xa,loại điều khiển bằng sóng hồng ngoại, vỏ bằng nhựa tổng hợp, KT:56*50*34mm, dùng pin 1.5V. Không hiệu. Nsx: Zhiyuan Desheng Co.,Ltd. Mới 100%</v>
      </c>
      <c r="D87" s="21">
        <f>'HỢP ĐỒNG'!I104</f>
        <v>85437029</v>
      </c>
      <c r="E87" s="22" t="s">
        <v>73</v>
      </c>
      <c r="F87" s="23">
        <f>'HỢP ĐỒNG'!E104</f>
        <v>350</v>
      </c>
      <c r="G87" s="396" t="str">
        <f>'INVOICE lam CO'!D100</f>
        <v>PCE</v>
      </c>
      <c r="H87" s="397">
        <v>350</v>
      </c>
      <c r="I87" s="399" t="s">
        <v>143</v>
      </c>
      <c r="J87" s="404">
        <f>'HỢP ĐỒNG'!F104</f>
        <v>0.45</v>
      </c>
      <c r="K87" s="24"/>
      <c r="L87" s="25"/>
      <c r="M87" s="26" t="s">
        <v>97</v>
      </c>
      <c r="Y87" s="27" t="str">
        <f t="shared" si="1"/>
        <v>VB245</v>
      </c>
      <c r="Z87" s="206">
        <f>'HỢP ĐỒNG'!P104</f>
        <v>0.08</v>
      </c>
    </row>
    <row r="88" spans="1:26" ht="45">
      <c r="A88" s="19">
        <f>'HỢP ĐỒNG'!A105</f>
        <v>87</v>
      </c>
      <c r="B88" s="19"/>
      <c r="C88" s="20" t="str">
        <f>'HỢP ĐỒNG'!C105</f>
        <v>Điều khiển tivi từ xa dùng pin AAA, loại điều khiển bằng sóng hồng ngoại, vỏ bằng nhựa tổng hợp. KT: 15-25*4.5*2cm+/-10%. Không hiệu. Nsx: Zhejiang Zhiyuan Factory. Mới 100%</v>
      </c>
      <c r="D88" s="21">
        <f>'HỢP ĐỒNG'!I105</f>
        <v>85437029</v>
      </c>
      <c r="E88" s="22" t="s">
        <v>73</v>
      </c>
      <c r="F88" s="23">
        <f>'HỢP ĐỒNG'!E105</f>
        <v>150</v>
      </c>
      <c r="G88" s="396" t="str">
        <f>'INVOICE lam CO'!D101</f>
        <v>PCE</v>
      </c>
      <c r="H88" s="397">
        <v>150</v>
      </c>
      <c r="I88" s="399" t="s">
        <v>143</v>
      </c>
      <c r="J88" s="404">
        <f>'HỢP ĐỒNG'!F105</f>
        <v>0.93</v>
      </c>
      <c r="K88" s="24"/>
      <c r="L88" s="25"/>
      <c r="M88" s="26" t="s">
        <v>97</v>
      </c>
      <c r="Y88" s="27" t="str">
        <f t="shared" si="1"/>
        <v>VB245</v>
      </c>
      <c r="Z88" s="206">
        <f>'HỢP ĐỒNG'!P105</f>
        <v>0.08</v>
      </c>
    </row>
    <row r="89" spans="1:26" ht="30">
      <c r="A89" s="19">
        <f>'HỢP ĐỒNG'!A106</f>
        <v>88</v>
      </c>
      <c r="B89" s="19"/>
      <c r="C89" s="20" t="str">
        <f>'HỢP ĐỒNG'!C106</f>
        <v>Bộ chuyển đổi âm thanh từ loa sang TV(bộ mã hóa),không kết hợp với bộ thu,vỏ bằng nhôm.Đ/a:12V,kí hiệu AQ5601 dòng điện 1A.Hiệu CHOSEAL.Mới 100%</v>
      </c>
      <c r="D89" s="21">
        <f>'HỢP ĐỒNG'!I106</f>
        <v>85437090</v>
      </c>
      <c r="E89" s="22" t="s">
        <v>73</v>
      </c>
      <c r="F89" s="23">
        <f>'HỢP ĐỒNG'!E106</f>
        <v>250</v>
      </c>
      <c r="G89" s="396" t="str">
        <f>'INVOICE lam CO'!D102</f>
        <v>PCE</v>
      </c>
      <c r="H89" s="397">
        <v>250</v>
      </c>
      <c r="I89" s="399" t="s">
        <v>143</v>
      </c>
      <c r="J89" s="404">
        <f>'HỢP ĐỒNG'!F106</f>
        <v>2.2599999999999998</v>
      </c>
      <c r="K89" s="24"/>
      <c r="L89" s="25"/>
      <c r="M89" s="26" t="s">
        <v>97</v>
      </c>
      <c r="Y89" s="27" t="str">
        <f t="shared" si="1"/>
        <v>VB245</v>
      </c>
      <c r="Z89" s="206">
        <f>'HỢP ĐỒNG'!P106</f>
        <v>0.08</v>
      </c>
    </row>
    <row r="90" spans="1:26" ht="45">
      <c r="A90" s="19">
        <f>'HỢP ĐỒNG'!A107</f>
        <v>89</v>
      </c>
      <c r="B90" s="19"/>
      <c r="C90" s="20" t="str">
        <f>'HỢP ĐỒNG'!C107</f>
        <v>Đầu nối (Giắc cắm) kết nối thiết bị âm thanh với micro, chất liệu bằng nhựa lõi đồng, KT: 8*3*33mm+-10%, dòng điện 1A, Không hiệu. NSX: Zhongshan Led lighning. Mới 100%.</v>
      </c>
      <c r="D90" s="21">
        <f>'HỢP ĐỒNG'!I107</f>
        <v>85369094</v>
      </c>
      <c r="E90" s="22" t="s">
        <v>73</v>
      </c>
      <c r="F90" s="23">
        <f>'HỢP ĐỒNG'!E107</f>
        <v>500</v>
      </c>
      <c r="G90" s="396" t="str">
        <f>'INVOICE lam CO'!D103</f>
        <v>PCE</v>
      </c>
      <c r="H90" s="397">
        <v>500</v>
      </c>
      <c r="I90" s="399" t="s">
        <v>143</v>
      </c>
      <c r="J90" s="404">
        <f>'HỢP ĐỒNG'!F107</f>
        <v>0.26</v>
      </c>
      <c r="K90" s="24"/>
      <c r="L90" s="25"/>
      <c r="M90" s="26" t="s">
        <v>97</v>
      </c>
      <c r="Y90" s="27" t="str">
        <f t="shared" si="1"/>
        <v>VB245</v>
      </c>
      <c r="Z90" s="206">
        <f>'HỢP ĐỒNG'!P107</f>
        <v>0.08</v>
      </c>
    </row>
    <row r="91" spans="1:26" ht="45">
      <c r="A91" s="19">
        <f>'HỢP ĐỒNG'!A108</f>
        <v>90</v>
      </c>
      <c r="B91" s="19"/>
      <c r="C91" s="20" t="str">
        <f>'HỢP ĐỒNG'!C108</f>
        <v>Đệm ghế massage toàn thân, model: LX-075E, Cs: 12V/36W, hoạt động bằng điện, chất liệu chính mút xốp bọc vải giả da, KT: 105*61.5*41.5cm+-10%, không hiệu. NSX: Shenzhen Dongjilian Electronics,mới 100%</v>
      </c>
      <c r="D91" s="21">
        <f>'HỢP ĐỒNG'!I108</f>
        <v>90191010</v>
      </c>
      <c r="E91" s="22" t="s">
        <v>73</v>
      </c>
      <c r="F91" s="23">
        <f>'HỢP ĐỒNG'!E108</f>
        <v>100</v>
      </c>
      <c r="G91" s="396" t="str">
        <f>'INVOICE lam CO'!D104</f>
        <v>PCE</v>
      </c>
      <c r="H91" s="397">
        <v>100</v>
      </c>
      <c r="I91" s="399" t="s">
        <v>143</v>
      </c>
      <c r="J91" s="404">
        <f>'HỢP ĐỒNG'!F108</f>
        <v>9.42</v>
      </c>
      <c r="K91" s="24"/>
      <c r="L91" s="25"/>
      <c r="M91" s="26" t="s">
        <v>97</v>
      </c>
      <c r="Y91" s="27" t="str">
        <f t="shared" si="1"/>
        <v>VB245</v>
      </c>
      <c r="Z91" s="206">
        <f>'HỢP ĐỒNG'!P108</f>
        <v>0.08</v>
      </c>
    </row>
    <row r="92" spans="1:26" ht="45">
      <c r="A92" s="19">
        <f>'HỢP ĐỒNG'!A109</f>
        <v>91</v>
      </c>
      <c r="B92" s="19"/>
      <c r="C92" s="20" t="str">
        <f>'HỢP ĐỒNG'!C109</f>
        <v>Động cơ giảm tốc 1 chiều (không phải động cơ bước) dùng tạo chuyển động cho lò quay vịt. Điện áp: 6-24V/150W. Model: ZYT61 6-24VDC. Tốc độ 15-60 vòng/phút, không hiệu. NSX: PINGYANG JINGE. mới 100%</v>
      </c>
      <c r="D92" s="21">
        <f>'HỢP ĐỒNG'!I109</f>
        <v>85013170</v>
      </c>
      <c r="E92" s="22" t="s">
        <v>73</v>
      </c>
      <c r="F92" s="23">
        <f>'HỢP ĐỒNG'!E109</f>
        <v>370</v>
      </c>
      <c r="G92" s="396" t="str">
        <f>'INVOICE lam CO'!D105</f>
        <v>PCE</v>
      </c>
      <c r="H92" s="397">
        <v>370</v>
      </c>
      <c r="I92" s="399" t="s">
        <v>143</v>
      </c>
      <c r="J92" s="404">
        <f>'HỢP ĐỒNG'!F109</f>
        <v>0.68</v>
      </c>
      <c r="K92" s="24"/>
      <c r="L92" s="25"/>
      <c r="M92" s="26" t="s">
        <v>97</v>
      </c>
      <c r="Y92" s="27" t="str">
        <f t="shared" si="1"/>
        <v>VB245</v>
      </c>
      <c r="Z92" s="206">
        <f>'HỢP ĐỒNG'!P109</f>
        <v>0.08</v>
      </c>
    </row>
    <row r="93" spans="1:26" ht="45">
      <c r="A93" s="19">
        <f>'HỢP ĐỒNG'!A110</f>
        <v>92</v>
      </c>
      <c r="B93" s="19"/>
      <c r="C93" s="20" t="str">
        <f>'HỢP ĐỒNG'!C110</f>
        <v>Động cơ giảm tốc 1 chiều (không phải động cơ bước) dùng tạo chuyển động cho lò quay vịt. Điện áp: 6-24V/150W. Model: ZYT61 6-24VDC. Tốc độ 15-60 vòng/phút, không hiệu. NSX: PINGYANG JINGE. mới 100%</v>
      </c>
      <c r="D93" s="21">
        <f>'HỢP ĐỒNG'!I110</f>
        <v>39241099</v>
      </c>
      <c r="E93" s="22" t="s">
        <v>73</v>
      </c>
      <c r="F93" s="23">
        <f>'HỢP ĐỒNG'!E110</f>
        <v>800</v>
      </c>
      <c r="G93" s="396" t="str">
        <f>'INVOICE lam CO'!D106</f>
        <v>PCE</v>
      </c>
      <c r="H93" s="397">
        <v>800</v>
      </c>
      <c r="I93" s="399" t="s">
        <v>143</v>
      </c>
      <c r="J93" s="404">
        <f>'HỢP ĐỒNG'!F110</f>
        <v>0.6</v>
      </c>
      <c r="K93" s="24"/>
      <c r="L93" s="25"/>
      <c r="M93" s="26" t="s">
        <v>97</v>
      </c>
      <c r="Y93" s="27" t="str">
        <f t="shared" si="1"/>
        <v>VB245</v>
      </c>
      <c r="Z93" s="206">
        <f>'HỢP ĐỒNG'!P110</f>
        <v>0.08</v>
      </c>
    </row>
    <row r="94" spans="1:26" ht="30">
      <c r="A94" s="19">
        <f>'HỢP ĐỒNG'!A111</f>
        <v>93</v>
      </c>
      <c r="B94" s="19"/>
      <c r="C94" s="20" t="str">
        <f>'HỢP ĐỒNG'!C111</f>
        <v>Bánh răng của máy may viền bao, chất liệu bằng sắt, KT:(6*11)cm +/-10%, không hiệu, NSX: Cixi Hongge Electric Appliance Co., Ltd, mới 100%</v>
      </c>
      <c r="D94" s="21">
        <f>'HỢP ĐỒNG'!I111</f>
        <v>84834090</v>
      </c>
      <c r="E94" s="22" t="s">
        <v>73</v>
      </c>
      <c r="F94" s="23">
        <f>'HỢP ĐỒNG'!E111</f>
        <v>50</v>
      </c>
      <c r="G94" s="396" t="str">
        <f>'INVOICE lam CO'!D107</f>
        <v>PCE</v>
      </c>
      <c r="H94" s="397">
        <v>50</v>
      </c>
      <c r="I94" s="399" t="s">
        <v>80</v>
      </c>
      <c r="J94" s="404">
        <f>'HỢP ĐỒNG'!F111</f>
        <v>15.83</v>
      </c>
      <c r="M94" s="26" t="s">
        <v>97</v>
      </c>
      <c r="Y94" s="27" t="str">
        <f t="shared" si="1"/>
        <v>VB245</v>
      </c>
      <c r="Z94" s="206">
        <f>'HỢP ĐỒNG'!P111</f>
        <v>0.08</v>
      </c>
    </row>
    <row r="95" spans="1:26" ht="45">
      <c r="A95" s="19">
        <f>'HỢP ĐỒNG'!A112</f>
        <v>94</v>
      </c>
      <c r="B95" s="19"/>
      <c r="C95" s="20" t="str">
        <f>'HỢP ĐỒNG'!C112</f>
        <v>Bộ phận của máy may viền túi vải PP không dệt: Bộ khuôn dán viền túi gồm tấm khuôn và cụm khuôn ép,bằng thép hợp kim. KT dài 300mm+-10%, không hiệu. NSX: Cixi Hongge Electric Appliance, mới 100%</v>
      </c>
      <c r="D95" s="21">
        <f>'HỢP ĐỒNG'!I112</f>
        <v>84529099</v>
      </c>
      <c r="E95" s="22" t="s">
        <v>73</v>
      </c>
      <c r="F95" s="23">
        <f>'HỢP ĐỒNG'!E112</f>
        <v>3</v>
      </c>
      <c r="G95" s="396" t="str">
        <f>'INVOICE lam CO'!D108</f>
        <v>SET</v>
      </c>
      <c r="H95" s="397">
        <v>3</v>
      </c>
      <c r="I95" s="399" t="s">
        <v>154</v>
      </c>
      <c r="J95" s="404">
        <f>'HỢP ĐỒNG'!F112</f>
        <v>546.61</v>
      </c>
      <c r="M95" s="26" t="s">
        <v>97</v>
      </c>
      <c r="Y95" s="27" t="str">
        <f t="shared" si="1"/>
        <v>VB245</v>
      </c>
      <c r="Z95" s="206">
        <f>'HỢP ĐỒNG'!P112</f>
        <v>0.08</v>
      </c>
    </row>
    <row r="96" spans="1:26" ht="45">
      <c r="A96" s="19">
        <f>'HỢP ĐỒNG'!A113</f>
        <v>95</v>
      </c>
      <c r="B96" s="19"/>
      <c r="C96" s="20" t="str">
        <f>'HỢP ĐỒNG'!C113</f>
        <v>Bộ phận của máy may viền túi vải PP không dệt: Con lăn dùng để tạo đường hàn biên, KT: 52*23mm+-10%, không hiệu, NSX: Cixi Hongge Electric Appliance Co., Ltd, mới 100%</v>
      </c>
      <c r="D96" s="21">
        <f>'HỢP ĐỒNG'!I113</f>
        <v>84529099</v>
      </c>
      <c r="E96" s="22" t="s">
        <v>73</v>
      </c>
      <c r="F96" s="23">
        <f>'HỢP ĐỒNG'!E113</f>
        <v>10</v>
      </c>
      <c r="G96" s="396" t="str">
        <f>'INVOICE lam CO'!D109</f>
        <v>PCE</v>
      </c>
      <c r="H96" s="397">
        <v>10</v>
      </c>
      <c r="I96" s="399" t="s">
        <v>143</v>
      </c>
      <c r="J96" s="404">
        <f>'HỢP ĐỒNG'!F113</f>
        <v>16.96</v>
      </c>
      <c r="M96" s="26" t="s">
        <v>97</v>
      </c>
      <c r="Y96" s="27" t="str">
        <f t="shared" si="1"/>
        <v>VB245</v>
      </c>
      <c r="Z96" s="206">
        <f>'HỢP ĐỒNG'!P113</f>
        <v>0.08</v>
      </c>
    </row>
    <row r="97" spans="1:26" ht="30">
      <c r="A97" s="19">
        <f>'HỢP ĐỒNG'!A114</f>
        <v>96</v>
      </c>
      <c r="B97" s="19"/>
      <c r="C97" s="20" t="str">
        <f>'HỢP ĐỒNG'!C114</f>
        <v>Cánh hoa nhân tạo bằng giấy sáp, KT: đk 3.5-4.5cm+-10%, không hiệu. Nsx: Guangdong Daming Decoration Co., Ltd, Mới 100%</v>
      </c>
      <c r="D97" s="21">
        <f>'HỢP ĐỒNG'!I114</f>
        <v>67021000</v>
      </c>
      <c r="E97" s="22" t="s">
        <v>73</v>
      </c>
      <c r="F97" s="23">
        <f>'HỢP ĐỒNG'!E114</f>
        <v>100</v>
      </c>
      <c r="G97" s="396" t="str">
        <f>'INVOICE lam CO'!D110</f>
        <v>KGM</v>
      </c>
      <c r="H97" s="397">
        <v>100</v>
      </c>
      <c r="I97" s="399" t="s">
        <v>80</v>
      </c>
      <c r="J97" s="404">
        <f>'HỢP ĐỒNG'!F114</f>
        <v>0.8</v>
      </c>
      <c r="M97" s="26" t="s">
        <v>97</v>
      </c>
      <c r="Y97" s="27" t="str">
        <f t="shared" si="1"/>
        <v>VB245</v>
      </c>
      <c r="Z97" s="206">
        <f>'HỢP ĐỒNG'!P114</f>
        <v>0.08</v>
      </c>
    </row>
    <row r="98" spans="1:26" ht="30">
      <c r="A98" s="19">
        <f>'HỢP ĐỒNG'!A115</f>
        <v>97</v>
      </c>
      <c r="B98" s="19"/>
      <c r="C98" s="20" t="str">
        <f>'HỢP ĐỒNG'!C115</f>
        <v>Điều khiển tivi từ xa thông minh, loại điều khiển bằng sóng hồng ngoại, vỏ bằng nhựa tổng hợp. Không hiệu. Nsx: Qingdao Desheng Co.,Ltd. Mới 100%</v>
      </c>
      <c r="D98" s="21">
        <f>'HỢP ĐỒNG'!I115</f>
        <v>85437029</v>
      </c>
      <c r="E98" s="22" t="s">
        <v>73</v>
      </c>
      <c r="F98" s="23">
        <f>'HỢP ĐỒNG'!E115</f>
        <v>1900</v>
      </c>
      <c r="G98" s="396" t="str">
        <f>'INVOICE lam CO'!D111</f>
        <v>PCE</v>
      </c>
      <c r="H98" s="398">
        <v>1900</v>
      </c>
      <c r="I98" s="399" t="s">
        <v>143</v>
      </c>
      <c r="J98" s="404">
        <f>'HỢP ĐỒNG'!F115</f>
        <v>0.75</v>
      </c>
      <c r="M98" s="26" t="s">
        <v>97</v>
      </c>
      <c r="Y98" s="27" t="str">
        <f t="shared" si="1"/>
        <v>VB245</v>
      </c>
      <c r="Z98" s="206">
        <f>'HỢP ĐỒNG'!P115</f>
        <v>0.08</v>
      </c>
    </row>
    <row r="99" spans="1:26" ht="30">
      <c r="A99" s="19">
        <f>'HỢP ĐỒNG'!A116</f>
        <v>98</v>
      </c>
      <c r="B99" s="19"/>
      <c r="C99" s="20" t="str">
        <f>'HỢP ĐỒNG'!C116</f>
        <v>Điều khiển tivi từ xa dùng pin AAA,loại điều khiển bằng sóng hồng ngoại, vỏ bằng nhựa tổng hợp. Không hiệu. Nsx: Guangdong Co.,Ltd. Mới 100%</v>
      </c>
      <c r="D99" s="21">
        <f>'HỢP ĐỒNG'!I116</f>
        <v>85437029</v>
      </c>
      <c r="E99" s="22" t="s">
        <v>73</v>
      </c>
      <c r="F99" s="23">
        <f>'HỢP ĐỒNG'!E116</f>
        <v>6800</v>
      </c>
      <c r="G99" s="396" t="str">
        <f>'INVOICE lam CO'!D112</f>
        <v>PCE</v>
      </c>
      <c r="H99" s="398">
        <v>6800</v>
      </c>
      <c r="I99" s="399" t="s">
        <v>143</v>
      </c>
      <c r="J99" s="404">
        <f>'HỢP ĐỒNG'!F116</f>
        <v>0.34</v>
      </c>
      <c r="M99" s="26" t="s">
        <v>97</v>
      </c>
      <c r="Y99" s="27" t="str">
        <f t="shared" si="1"/>
        <v>VB245</v>
      </c>
      <c r="Z99" s="206">
        <f>'HỢP ĐỒNG'!P116</f>
        <v>0.08</v>
      </c>
    </row>
    <row r="100" spans="1:26" ht="30">
      <c r="A100" s="19">
        <f>'HỢP ĐỒNG'!A117</f>
        <v>99</v>
      </c>
      <c r="B100" s="19"/>
      <c r="C100" s="20" t="str">
        <f>'HỢP ĐỒNG'!C117</f>
        <v>Điều khiển điều hòa từ xa, điều khiển bằng sóng hồng ngoại, vỏ bằng nhựa PVC. Không hiệu. Nsx: Shanghai shanghua electronic Co.,Ltd. Mới 100%</v>
      </c>
      <c r="D100" s="21">
        <f>'HỢP ĐỒNG'!I117</f>
        <v>85437029</v>
      </c>
      <c r="E100" s="22" t="s">
        <v>73</v>
      </c>
      <c r="F100" s="23">
        <f>'HỢP ĐỒNG'!E117</f>
        <v>3450</v>
      </c>
      <c r="G100" s="396" t="str">
        <f>'INVOICE lam CO'!D113</f>
        <v>PCE</v>
      </c>
      <c r="H100" s="398">
        <v>3450</v>
      </c>
      <c r="I100" s="399" t="s">
        <v>143</v>
      </c>
      <c r="J100" s="404">
        <f>'HỢP ĐỒNG'!F117</f>
        <v>0.56999999999999995</v>
      </c>
      <c r="M100" s="26" t="s">
        <v>97</v>
      </c>
      <c r="Y100" s="27" t="str">
        <f t="shared" si="1"/>
        <v>VB245</v>
      </c>
      <c r="Z100" s="206">
        <f>'HỢP ĐỒNG'!P117</f>
        <v>0.08</v>
      </c>
    </row>
    <row r="101" spans="1:26" ht="45">
      <c r="A101" s="19">
        <f>'HỢP ĐỒNG'!A118</f>
        <v>100</v>
      </c>
      <c r="B101" s="19"/>
      <c r="C101" s="20" t="str">
        <f>'HỢP ĐỒNG'!C118</f>
        <v>Máy cưa bê tông đĩa tròn cầm tay không chổi than model K6006, hoạt động bằng điện, đ/a: 220V, cs: 55W, tốc độ: 2700 vòng/p, không hiệu,NSX: Ningbo zhihao machinery. Mới 100%</v>
      </c>
      <c r="D101" s="21">
        <f>'HỢP ĐỒNG'!I118</f>
        <v>84672900</v>
      </c>
      <c r="E101" s="22" t="s">
        <v>73</v>
      </c>
      <c r="F101" s="23">
        <f>'HỢP ĐỒNG'!E118</f>
        <v>16</v>
      </c>
      <c r="G101" s="396" t="s">
        <v>183</v>
      </c>
      <c r="H101" s="397">
        <v>16</v>
      </c>
      <c r="I101" s="399" t="s">
        <v>143</v>
      </c>
      <c r="J101" s="404">
        <f>'HỢP ĐỒNG'!F118</f>
        <v>30.16</v>
      </c>
      <c r="M101" s="26" t="s">
        <v>97</v>
      </c>
      <c r="Y101" s="27" t="str">
        <f t="shared" si="1"/>
        <v>VB245</v>
      </c>
      <c r="Z101" s="206">
        <f>'HỢP ĐỒNG'!P118</f>
        <v>0.08</v>
      </c>
    </row>
    <row r="102" spans="1:26" ht="45">
      <c r="A102" s="19">
        <f>'HỢP ĐỒNG'!A119</f>
        <v>101</v>
      </c>
      <c r="B102" s="19"/>
      <c r="C102" s="20" t="str">
        <f>'HỢP ĐỒNG'!C119</f>
        <v>Đèn chiếu sáng trang trí bể cá cảnh, Model:DY-A200, sử dụng nguồn sáng đi ốt phát quang (LED) không phải loại quang điện. KT: 20*15*8cm. CS: 18W/220V. Hiệu:DEYAO. Mới 100%</v>
      </c>
      <c r="D102" s="21">
        <f>'HỢP ĐỒNG'!I119</f>
        <v>94054290</v>
      </c>
      <c r="E102" s="22" t="s">
        <v>73</v>
      </c>
      <c r="F102" s="23">
        <f>'HỢP ĐỒNG'!E119</f>
        <v>120</v>
      </c>
      <c r="G102" s="396" t="s">
        <v>183</v>
      </c>
      <c r="H102" s="397">
        <v>120</v>
      </c>
      <c r="I102" s="399" t="s">
        <v>143</v>
      </c>
      <c r="J102" s="404">
        <f>'HỢP ĐỒNG'!F119</f>
        <v>2.0699999999999998</v>
      </c>
      <c r="M102" s="26" t="s">
        <v>97</v>
      </c>
      <c r="Y102" s="27" t="str">
        <f t="shared" si="1"/>
        <v>VB245</v>
      </c>
      <c r="Z102" s="206">
        <f>'HỢP ĐỒNG'!P119</f>
        <v>0.08</v>
      </c>
    </row>
    <row r="103" spans="1:26" ht="45">
      <c r="A103" s="19">
        <f>'HỢP ĐỒNG'!A120</f>
        <v>102</v>
      </c>
      <c r="C103" s="20" t="str">
        <f>'HỢP ĐỒNG'!C120</f>
        <v>Đèn chiếu sáng trang trí bể cá cảnh, Model:DY-A300, sử dụng nguồn sáng đi ốt phát quang (LED) không phải loại quang điện. KT: 30*15*8cm. CS: 22W/220V. Hiệu:DEYAO. Mới 100%</v>
      </c>
      <c r="D103" s="21">
        <f>'HỢP ĐỒNG'!I120</f>
        <v>94054290</v>
      </c>
      <c r="E103" s="22" t="s">
        <v>73</v>
      </c>
      <c r="F103" s="23">
        <f>'HỢP ĐỒNG'!E120</f>
        <v>160</v>
      </c>
      <c r="G103" s="396" t="s">
        <v>183</v>
      </c>
      <c r="H103" s="397">
        <v>160</v>
      </c>
      <c r="I103" s="399" t="s">
        <v>143</v>
      </c>
      <c r="J103" s="404">
        <f>'HỢP ĐỒNG'!F120</f>
        <v>2.2599999999999998</v>
      </c>
      <c r="M103" s="26" t="s">
        <v>97</v>
      </c>
      <c r="Y103" s="27" t="str">
        <f t="shared" si="1"/>
        <v>VB245</v>
      </c>
      <c r="Z103" s="206">
        <f>'HỢP ĐỒNG'!P120</f>
        <v>0.08</v>
      </c>
    </row>
    <row r="104" spans="1:26" ht="45">
      <c r="A104" s="19">
        <f>'HỢP ĐỒNG'!A121</f>
        <v>103</v>
      </c>
      <c r="C104" s="20" t="str">
        <f>'HỢP ĐỒNG'!C121</f>
        <v>Đèn chiếu sáng trang trí bể cá cảnh, Model:DY-A400, sử dụng nguồn sáng đi ốt phát quang (LED) không phải loại quang điện. KT: 40*15*8cm. CS: 28W/220V. Hiệu:DEYAO. Mới 100%</v>
      </c>
      <c r="D104" s="21">
        <f>'HỢP ĐỒNG'!I121</f>
        <v>94054290</v>
      </c>
      <c r="E104" s="22" t="s">
        <v>73</v>
      </c>
      <c r="F104" s="23">
        <f>'HỢP ĐỒNG'!E121</f>
        <v>200</v>
      </c>
      <c r="G104" s="396" t="str">
        <f>'INVOICE lam CO'!D117</f>
        <v>PCE</v>
      </c>
      <c r="H104" s="397">
        <v>200</v>
      </c>
      <c r="I104" s="399" t="s">
        <v>143</v>
      </c>
      <c r="J104" s="404">
        <f>'HỢP ĐỒNG'!F121</f>
        <v>2.4500000000000002</v>
      </c>
      <c r="M104" s="26" t="s">
        <v>97</v>
      </c>
      <c r="Y104" s="27" t="str">
        <f t="shared" si="1"/>
        <v>VB245</v>
      </c>
      <c r="Z104" s="206">
        <f>'HỢP ĐỒNG'!P121</f>
        <v>0.08</v>
      </c>
    </row>
    <row r="105" spans="1:26" ht="45">
      <c r="A105" s="19">
        <f>'HỢP ĐỒNG'!A122</f>
        <v>104</v>
      </c>
      <c r="C105" s="20" t="str">
        <f>'HỢP ĐỒNG'!C122</f>
        <v>Đèn chiếu sáng trang trí bể cá cảnh, Model:DY-A500, sử dụng nguồn sáng đi ốt phát quang (LED) không phải loại quang điện. KT: 50*15*8cm. CS: 34W/220V. Hiệu:DEYAO. Mới 100%</v>
      </c>
      <c r="D105" s="21">
        <f>'HỢP ĐỒNG'!I122</f>
        <v>94054290</v>
      </c>
      <c r="E105" s="22" t="s">
        <v>73</v>
      </c>
      <c r="F105" s="23">
        <f>'HỢP ĐỒNG'!E122</f>
        <v>600</v>
      </c>
      <c r="G105" s="396" t="str">
        <f>'INVOICE lam CO'!D118</f>
        <v>PCE</v>
      </c>
      <c r="H105" s="397">
        <v>600</v>
      </c>
      <c r="I105" s="399" t="s">
        <v>143</v>
      </c>
      <c r="J105" s="404">
        <f>'HỢP ĐỒNG'!F122</f>
        <v>2.64</v>
      </c>
      <c r="M105" s="26" t="s">
        <v>97</v>
      </c>
      <c r="Y105" s="27" t="str">
        <f t="shared" si="1"/>
        <v>VB245</v>
      </c>
      <c r="Z105" s="206">
        <f>'HỢP ĐỒNG'!P122</f>
        <v>0.08</v>
      </c>
    </row>
    <row r="106" spans="1:26" ht="45">
      <c r="A106" s="19">
        <f>'HỢP ĐỒNG'!A123</f>
        <v>105</v>
      </c>
      <c r="C106" s="20" t="str">
        <f>'HỢP ĐỒNG'!C123</f>
        <v>Đèn chiếu sáng trang trí bể cá cảnh, Model:DY-A600, sử dụng nguồn sáng đi ốt phát quang (LED) không phải loại quang điện. KT: 60*15*8cm. CS: 38W/220V. Hiệu:DEYAO. Mới 100%</v>
      </c>
      <c r="D106" s="21">
        <f>'HỢP ĐỒNG'!I123</f>
        <v>94054290</v>
      </c>
      <c r="E106" s="22" t="s">
        <v>73</v>
      </c>
      <c r="F106" s="23">
        <f>'HỢP ĐỒNG'!E123</f>
        <v>800</v>
      </c>
      <c r="G106" s="396" t="str">
        <f>'INVOICE lam CO'!D119</f>
        <v>PCE</v>
      </c>
      <c r="H106" s="397">
        <v>800</v>
      </c>
      <c r="I106" s="399" t="s">
        <v>143</v>
      </c>
      <c r="J106" s="404">
        <f>'HỢP ĐỒNG'!F123</f>
        <v>2.83</v>
      </c>
      <c r="M106" s="26" t="s">
        <v>97</v>
      </c>
      <c r="Y106" s="27" t="str">
        <f t="shared" si="1"/>
        <v>VB245</v>
      </c>
      <c r="Z106" s="206">
        <f>'HỢP ĐỒNG'!P123</f>
        <v>0.08</v>
      </c>
    </row>
    <row r="107" spans="1:26" ht="45">
      <c r="A107" s="19">
        <f>'HỢP ĐỒNG'!A124</f>
        <v>106</v>
      </c>
      <c r="C107" s="20" t="str">
        <f>'HỢP ĐỒNG'!C124</f>
        <v>Đèn chiếu sáng trang trí bể cá cảnh, Model:DY-A800, sử dụng nguồn sáng đi ốt phát quang (LED) không phải loại quang điện. KT: 80*15*8cm. CS: 46W/220V. Hiệu:DEYAO. Mới 100%</v>
      </c>
      <c r="D107" s="21">
        <f>'HỢP ĐỒNG'!I124</f>
        <v>94054290</v>
      </c>
      <c r="E107" s="22" t="s">
        <v>73</v>
      </c>
      <c r="F107" s="23">
        <f>'HỢP ĐỒNG'!E124</f>
        <v>600</v>
      </c>
      <c r="G107" s="396" t="s">
        <v>183</v>
      </c>
      <c r="H107" s="397">
        <v>600</v>
      </c>
      <c r="I107" s="399" t="s">
        <v>143</v>
      </c>
      <c r="J107" s="404">
        <f>'HỢP ĐỒNG'!F124</f>
        <v>3.02</v>
      </c>
      <c r="M107" s="26" t="s">
        <v>97</v>
      </c>
      <c r="Y107" s="27" t="str">
        <f t="shared" si="1"/>
        <v>VB245</v>
      </c>
      <c r="Z107" s="206">
        <f>'HỢP ĐỒNG'!P124</f>
        <v>0.08</v>
      </c>
    </row>
    <row r="108" spans="1:26" ht="45">
      <c r="A108" s="19">
        <f>'HỢP ĐỒNG'!A125</f>
        <v>107</v>
      </c>
      <c r="C108" s="20" t="str">
        <f>'HỢP ĐỒNG'!C125</f>
        <v>Đèn chiếu sáng trang trí bể cá cảnh, Model:DY-A1000, sử dụng nguồn sáng đi ốt phát quang (LED) không phải loại quang điện. KT: 100*15*8cm. CS: 55W/220V. Hiệu:DEYAO. Mới 100%</v>
      </c>
      <c r="D108" s="21">
        <f>'HỢP ĐỒNG'!I125</f>
        <v>94054290</v>
      </c>
      <c r="E108" s="22" t="s">
        <v>73</v>
      </c>
      <c r="F108" s="23">
        <f>'HỢP ĐỒNG'!E125</f>
        <v>400</v>
      </c>
      <c r="G108" s="396" t="s">
        <v>183</v>
      </c>
      <c r="H108" s="397">
        <v>400</v>
      </c>
      <c r="I108" s="399" t="s">
        <v>143</v>
      </c>
      <c r="J108" s="404">
        <f>'HỢP ĐỒNG'!F125</f>
        <v>3.2</v>
      </c>
      <c r="M108" s="26" t="s">
        <v>97</v>
      </c>
      <c r="Y108" s="27" t="str">
        <f t="shared" si="1"/>
        <v>VB245</v>
      </c>
      <c r="Z108" s="206">
        <f>'HỢP ĐỒNG'!P125</f>
        <v>0.08</v>
      </c>
    </row>
    <row r="109" spans="1:26" ht="45">
      <c r="A109" s="19">
        <f>'HỢP ĐỒNG'!A126</f>
        <v>108</v>
      </c>
      <c r="C109" s="20" t="str">
        <f>'HỢP ĐỒNG'!C126</f>
        <v>Đèn chiếu sáng trang trí bể cá cảnh, Model: E23, sử dụng nguồn sáng đi ốt phát quang (LED) không phải loại quang điện. KT: 30*10*8cm. Công suất:12w/220V. Hiệu:DEYAO. Mới 100%</v>
      </c>
      <c r="D109" s="21">
        <f>'HỢP ĐỒNG'!I126</f>
        <v>94054290</v>
      </c>
      <c r="E109" s="22" t="s">
        <v>73</v>
      </c>
      <c r="F109" s="23">
        <f>'HỢP ĐỒNG'!E126</f>
        <v>250</v>
      </c>
      <c r="G109" s="396" t="s">
        <v>183</v>
      </c>
      <c r="H109" s="397">
        <v>250</v>
      </c>
      <c r="I109" s="399" t="s">
        <v>143</v>
      </c>
      <c r="J109" s="404">
        <f>'HỢP ĐỒNG'!F126</f>
        <v>2.2599999999999998</v>
      </c>
      <c r="M109" s="26" t="s">
        <v>97</v>
      </c>
      <c r="Y109" s="27" t="str">
        <f t="shared" si="1"/>
        <v>VB245</v>
      </c>
      <c r="Z109" s="206">
        <f>'HỢP ĐỒNG'!P126</f>
        <v>0.08</v>
      </c>
    </row>
    <row r="110" spans="1:26" ht="45">
      <c r="A110" s="19">
        <f>'HỢP ĐỒNG'!A127</f>
        <v>109</v>
      </c>
      <c r="C110" s="20" t="str">
        <f>'HỢP ĐỒNG'!C127</f>
        <v>Đèn chiếu sáng trang trí bể cá cảnh, Model:E29 , sử dụng nguồn sáng đi ốt phát quang (LED) không phải loại quang điện. KT: 40*10*8cm. Công suất:16w/220V. Hiệu:DEYAO. Mới 100%</v>
      </c>
      <c r="D110" s="21">
        <f>'HỢP ĐỒNG'!I127</f>
        <v>94054290</v>
      </c>
      <c r="E110" s="22" t="s">
        <v>73</v>
      </c>
      <c r="F110" s="23">
        <f>'HỢP ĐỒNG'!E127</f>
        <v>250</v>
      </c>
      <c r="G110" s="396" t="s">
        <v>183</v>
      </c>
      <c r="H110" s="397">
        <v>250</v>
      </c>
      <c r="I110" s="399" t="s">
        <v>143</v>
      </c>
      <c r="J110" s="404">
        <f>'HỢP ĐỒNG'!F127</f>
        <v>2.64</v>
      </c>
      <c r="M110" s="26" t="s">
        <v>97</v>
      </c>
      <c r="Y110" s="27" t="str">
        <f t="shared" si="1"/>
        <v>VB245</v>
      </c>
      <c r="Z110" s="206">
        <f>'HỢP ĐỒNG'!P127</f>
        <v>0.08</v>
      </c>
    </row>
    <row r="111" spans="1:26" ht="45">
      <c r="A111" s="19">
        <f>'HỢP ĐỒNG'!A128</f>
        <v>110</v>
      </c>
      <c r="C111" s="20" t="str">
        <f>'HỢP ĐỒNG'!C128</f>
        <v>Đèn chiếu sáng trang trí bể cá cảnh, Model: E39, sử dụng nguồn sáng đi ốt phát quang (LED) không phải loại quang điện. KT: 40*10*8cm. Công suất:20w/220V. Hiệu:DEYAO. Mới 100%</v>
      </c>
      <c r="D111" s="21">
        <f>'HỢP ĐỒNG'!I128</f>
        <v>94054290</v>
      </c>
      <c r="E111" s="22" t="s">
        <v>73</v>
      </c>
      <c r="F111" s="23">
        <f>'HỢP ĐỒNG'!E128</f>
        <v>250</v>
      </c>
      <c r="G111" s="396" t="s">
        <v>183</v>
      </c>
      <c r="H111" s="397">
        <v>250</v>
      </c>
      <c r="I111" s="399" t="s">
        <v>143</v>
      </c>
      <c r="J111" s="404">
        <f>'HỢP ĐỒNG'!F128</f>
        <v>3.02</v>
      </c>
      <c r="M111" s="26" t="s">
        <v>97</v>
      </c>
      <c r="Y111" s="27" t="str">
        <f t="shared" si="1"/>
        <v>VB245</v>
      </c>
      <c r="Z111" s="206">
        <f>'HỢP ĐỒNG'!P128</f>
        <v>0.08</v>
      </c>
    </row>
    <row r="112" spans="1:26" ht="45">
      <c r="A112" s="19">
        <f>'HỢP ĐỒNG'!A129</f>
        <v>111</v>
      </c>
      <c r="C112" s="20" t="str">
        <f>'HỢP ĐỒNG'!C129</f>
        <v>Đèn chiếu sáng trang trí bể cá cảnh, Model: E49 , sử dụng nguồn sáng đi ốt phát quang (LED) không phải loại quang điện. KT: 40*10*8cm. Công suất:24w/220V. Hiệu:DEYAO. Mới 100%</v>
      </c>
      <c r="D112" s="21">
        <f>'HỢP ĐỒNG'!I129</f>
        <v>94054290</v>
      </c>
      <c r="E112" s="22" t="s">
        <v>73</v>
      </c>
      <c r="F112" s="23">
        <f>'HỢP ĐỒNG'!E129</f>
        <v>250</v>
      </c>
      <c r="G112" s="396" t="s">
        <v>183</v>
      </c>
      <c r="H112" s="397">
        <v>250</v>
      </c>
      <c r="I112" s="399" t="s">
        <v>143</v>
      </c>
      <c r="J112" s="404">
        <f>'HỢP ĐỒNG'!F129</f>
        <v>3.39</v>
      </c>
      <c r="M112" s="26" t="s">
        <v>97</v>
      </c>
      <c r="Y112" s="27" t="str">
        <f t="shared" si="1"/>
        <v>VB245</v>
      </c>
      <c r="Z112" s="206">
        <f>'HỢP ĐỒNG'!P129</f>
        <v>0.08</v>
      </c>
    </row>
    <row r="113" spans="1:26" ht="45">
      <c r="A113" s="19">
        <f>'HỢP ĐỒNG'!A130</f>
        <v>112</v>
      </c>
      <c r="C113" s="20" t="str">
        <f>'HỢP ĐỒNG'!C130</f>
        <v>Đèn chiếu sáng trang trí bể cá cảnh, Model:CF02, sử dụng nguồn sáng đi ốt phát quang (LED), không phải loại quang điện. KT: 18*15*6cm.Công suất: 13W-220V. Hiệu:DEYAO. Mới 100%</v>
      </c>
      <c r="D113" s="21">
        <f>'HỢP ĐỒNG'!I130</f>
        <v>94054290</v>
      </c>
      <c r="E113" s="22" t="s">
        <v>73</v>
      </c>
      <c r="F113" s="23">
        <f>'HỢP ĐỒNG'!E130</f>
        <v>2000</v>
      </c>
      <c r="G113" s="396" t="s">
        <v>183</v>
      </c>
      <c r="H113" s="398">
        <v>2000</v>
      </c>
      <c r="I113" s="399" t="s">
        <v>143</v>
      </c>
      <c r="J113" s="404">
        <f>'HỢP ĐỒNG'!F130</f>
        <v>2.0699999999999998</v>
      </c>
      <c r="M113" s="26" t="s">
        <v>97</v>
      </c>
      <c r="Y113" s="27" t="str">
        <f t="shared" si="1"/>
        <v>VB245</v>
      </c>
      <c r="Z113" s="206">
        <f>'HỢP ĐỒNG'!P130</f>
        <v>0.08</v>
      </c>
    </row>
    <row r="114" spans="1:26" ht="45">
      <c r="A114" s="19">
        <f>'HỢP ĐỒNG'!A131</f>
        <v>113</v>
      </c>
      <c r="C114" s="20" t="str">
        <f>'HỢP ĐỒNG'!C131</f>
        <v>Đèn chiếu sáng trang trí bể cá cảnh, Model:F-01, sử dụng nguồn sáng đi ốt phát quang (LED), không phải loại quang điện KT: 35*15*10cm.Công suất: 12W-220V. Hiệu:DEYAO. Mới 100%</v>
      </c>
      <c r="D114" s="21">
        <f>'HỢP ĐỒNG'!I131</f>
        <v>94054290</v>
      </c>
      <c r="E114" s="22" t="s">
        <v>73</v>
      </c>
      <c r="F114" s="23">
        <f>'HỢP ĐỒNG'!E131</f>
        <v>300</v>
      </c>
      <c r="G114" s="396" t="s">
        <v>183</v>
      </c>
      <c r="H114" s="397">
        <v>300</v>
      </c>
      <c r="I114" s="399" t="s">
        <v>143</v>
      </c>
      <c r="J114" s="404">
        <f>'HỢP ĐỒNG'!F131</f>
        <v>2.64</v>
      </c>
      <c r="M114" s="26" t="s">
        <v>97</v>
      </c>
      <c r="Y114" s="27" t="str">
        <f t="shared" si="1"/>
        <v>VB245</v>
      </c>
      <c r="Z114" s="206">
        <f>'HỢP ĐỒNG'!P131</f>
        <v>0.08</v>
      </c>
    </row>
    <row r="115" spans="1:26" ht="45">
      <c r="A115" s="19">
        <f>'HỢP ĐỒNG'!A132</f>
        <v>114</v>
      </c>
      <c r="C115" s="20" t="str">
        <f>'HỢP ĐỒNG'!C132</f>
        <v>Đèn chiếu sáng trang trí bể cá cảnh, Model:F-07, sử dụng nguồn sáng đi ốt phát quang (LED), không phải loại quang điện. KT: 35*15*10cm.Công suất: 20W-220V. Hiệu:DEYAO. Mới 100%</v>
      </c>
      <c r="D115" s="21">
        <f>'HỢP ĐỒNG'!I132</f>
        <v>94054290</v>
      </c>
      <c r="E115" s="22" t="s">
        <v>73</v>
      </c>
      <c r="F115" s="23">
        <f>'HỢP ĐỒNG'!E132</f>
        <v>250</v>
      </c>
      <c r="G115" s="396" t="s">
        <v>183</v>
      </c>
      <c r="H115" s="397">
        <v>250</v>
      </c>
      <c r="I115" s="399" t="s">
        <v>143</v>
      </c>
      <c r="J115" s="404">
        <f>'HỢP ĐỒNG'!F132</f>
        <v>3.39</v>
      </c>
      <c r="M115" s="26" t="s">
        <v>97</v>
      </c>
      <c r="Y115" s="27" t="str">
        <f t="shared" si="1"/>
        <v>VB245</v>
      </c>
      <c r="Z115" s="206">
        <f>'HỢP ĐỒNG'!P132</f>
        <v>0.08</v>
      </c>
    </row>
    <row r="116" spans="1:26" ht="45">
      <c r="A116" s="19">
        <f>'HỢP ĐỒNG'!A133</f>
        <v>115</v>
      </c>
      <c r="C116" s="20" t="str">
        <f>'HỢP ĐỒNG'!C133</f>
        <v>Đèn chiếu sáng trang trí bể cá cảnh, Model:F-09, sử dụng nguồn sáng đi ốt phát quang (LED, không phải loại quang điện. KT: 35*15*10cm.Công suất: 15W-220V. Hiệu:DEYAO. Mới 100%</v>
      </c>
      <c r="D116" s="21">
        <f>'HỢP ĐỒNG'!I133</f>
        <v>94054290</v>
      </c>
      <c r="E116" s="22" t="s">
        <v>73</v>
      </c>
      <c r="F116" s="23">
        <f>'HỢP ĐỒNG'!E133</f>
        <v>400</v>
      </c>
      <c r="G116" s="396" t="s">
        <v>183</v>
      </c>
      <c r="H116" s="397">
        <v>400</v>
      </c>
      <c r="I116" s="399" t="s">
        <v>143</v>
      </c>
      <c r="J116" s="404">
        <f>'HỢP ĐỒNG'!F133</f>
        <v>4.9000000000000004</v>
      </c>
      <c r="M116" s="26" t="s">
        <v>97</v>
      </c>
      <c r="Y116" s="27" t="str">
        <f t="shared" si="1"/>
        <v>VB245</v>
      </c>
      <c r="Z116" s="206">
        <f>'HỢP ĐỒNG'!P133</f>
        <v>0.08</v>
      </c>
    </row>
    <row r="117" spans="1:26" ht="45">
      <c r="A117" s="19">
        <f>'HỢP ĐỒNG'!A134</f>
        <v>116</v>
      </c>
      <c r="C117" s="20" t="str">
        <f>'HỢP ĐỒNG'!C134</f>
        <v>Hộp giấy bìa không sóng có thể gấp lại dùng để đóng gói, vận chuyển hoa sáp, KT: 46*24*8cm+-10%, không hiệu. Nsx: Guangdong Daming Decoration Co., Ltd, Mới 100%</v>
      </c>
      <c r="D117" s="21">
        <f>'HỢP ĐỒNG'!I134</f>
        <v>48192000</v>
      </c>
      <c r="E117" s="22" t="s">
        <v>73</v>
      </c>
      <c r="F117" s="23">
        <f>'HỢP ĐỒNG'!E134</f>
        <v>400</v>
      </c>
      <c r="G117" s="396" t="str">
        <f>'INVOICE lam CO'!D130</f>
        <v>KGM</v>
      </c>
      <c r="H117" s="397">
        <v>400</v>
      </c>
      <c r="I117" s="399" t="s">
        <v>80</v>
      </c>
      <c r="J117" s="404">
        <f>'HỢP ĐỒNG'!F134</f>
        <v>0.8</v>
      </c>
      <c r="M117" s="26" t="s">
        <v>187</v>
      </c>
      <c r="Y117" s="27" t="str">
        <f t="shared" si="1"/>
        <v>VB245</v>
      </c>
      <c r="Z117" s="206">
        <f>'HỢP ĐỒNG'!P134</f>
        <v>0.08</v>
      </c>
    </row>
    <row r="118" spans="1:26" ht="45">
      <c r="A118" s="19">
        <f>'HỢP ĐỒNG'!A135</f>
        <v>117</v>
      </c>
      <c r="C118" s="20" t="str">
        <f>'HỢP ĐỒNG'!C135</f>
        <v>Khay nhựa PVC định hình bóng khí, dùng lót đáy hộp quà tặng khi đóng gói vận chuyển, chất liệu nhựa PVC, KT: 44*22*3.1cm+-10%, không hiệu. Nsx: Guangdong Daming Decoration Co., Ltd, Mới 100%</v>
      </c>
      <c r="D118" s="21">
        <f>'HỢP ĐỒNG'!I135</f>
        <v>39239090</v>
      </c>
      <c r="E118" s="22" t="s">
        <v>73</v>
      </c>
      <c r="F118" s="23">
        <f>'HỢP ĐỒNG'!E135</f>
        <v>100</v>
      </c>
      <c r="G118" s="396" t="str">
        <f>'INVOICE lam CO'!D131</f>
        <v>KGM</v>
      </c>
      <c r="H118" s="397">
        <v>100</v>
      </c>
      <c r="I118" s="399" t="s">
        <v>80</v>
      </c>
      <c r="J118" s="404">
        <f>'HỢP ĐỒNG'!F135</f>
        <v>1.3</v>
      </c>
      <c r="M118" s="26" t="s">
        <v>97</v>
      </c>
      <c r="Y118" s="27" t="str">
        <f t="shared" si="1"/>
        <v>VB245</v>
      </c>
      <c r="Z118" s="206">
        <f>'HỢP ĐỒNG'!P135</f>
        <v>0.08</v>
      </c>
    </row>
    <row r="119" spans="1:26" ht="45">
      <c r="A119" s="19">
        <f>'HỢP ĐỒNG'!A136</f>
        <v>118</v>
      </c>
      <c r="C119" s="20" t="str">
        <f>'HỢP ĐỒNG'!C136</f>
        <v>Giày bốt trẻ em cổ cao quá mắt cá chân, không đúc, đế bằng cao su mềm, mũ giày bằng nhựa giả da, mũi không gắn bảo vệ, size 22-31. KH:D509, không hiệu. NSX:Jinjiang Anao Footwear Co.,Ltd. mới 100%</v>
      </c>
      <c r="D119" s="21">
        <f>'HỢP ĐỒNG'!I136</f>
        <v>64029199</v>
      </c>
      <c r="E119" s="22" t="s">
        <v>73</v>
      </c>
      <c r="F119" s="23">
        <f>'HỢP ĐỒNG'!E136</f>
        <v>200</v>
      </c>
      <c r="G119" s="396" t="str">
        <f>'INVOICE lam CO'!D132</f>
        <v>PR</v>
      </c>
      <c r="H119" s="397">
        <v>200</v>
      </c>
      <c r="I119" s="399" t="s">
        <v>153</v>
      </c>
      <c r="J119" s="404">
        <f>'HỢP ĐỒNG'!F136</f>
        <v>1.1299999999999999</v>
      </c>
      <c r="M119" s="26" t="s">
        <v>97</v>
      </c>
      <c r="Y119" s="27" t="str">
        <f t="shared" si="1"/>
        <v>VB245</v>
      </c>
      <c r="Z119" s="206">
        <f>'HỢP ĐỒNG'!P136</f>
        <v>0.08</v>
      </c>
    </row>
    <row r="120" spans="1:26" ht="45">
      <c r="A120" s="19">
        <f>'HỢP ĐỒNG'!A137</f>
        <v>119</v>
      </c>
      <c r="C120" s="20" t="str">
        <f>'HỢP ĐỒNG'!C137</f>
        <v>Trạm mồi chống mối nổi kèm phụ kiện lắp đặt, không thấm tẩm hóa chất, chất liệu bằng nhựa tổng hợp, KT: 16.5*8.5*6.5cm+-10%, không hiệu. NSX: Shenzhen iPest Technology Co., Ltd. mới 100%</v>
      </c>
      <c r="D120" s="21">
        <f>'HỢP ĐỒNG'!I137</f>
        <v>39269099</v>
      </c>
      <c r="E120" s="22" t="s">
        <v>73</v>
      </c>
      <c r="F120" s="23">
        <f>'HỢP ĐỒNG'!E137</f>
        <v>500</v>
      </c>
      <c r="G120" s="396" t="str">
        <f>'INVOICE lam CO'!D133</f>
        <v>SET</v>
      </c>
      <c r="H120" s="397">
        <v>500</v>
      </c>
      <c r="I120" s="399" t="s">
        <v>154</v>
      </c>
      <c r="J120" s="404">
        <f>'HỢP ĐỒNG'!F137</f>
        <v>0.89</v>
      </c>
      <c r="M120" s="26" t="s">
        <v>97</v>
      </c>
      <c r="Y120" s="27" t="str">
        <f t="shared" si="1"/>
        <v>VB245</v>
      </c>
      <c r="Z120" s="206">
        <f>'HỢP ĐỒNG'!P137</f>
        <v>0.08</v>
      </c>
    </row>
    <row r="121" spans="1:26" ht="30">
      <c r="A121" s="19">
        <f>'HỢP ĐỒNG'!A138</f>
        <v>120</v>
      </c>
      <c r="C121" s="20" t="str">
        <f>'HỢP ĐỒNG'!C138</f>
        <v>Bánh xe treo cửa thang máy, chất liệu bằng thép không gỉ. KT: (56*14)mm, model: 6201RS, không hiệu. NSX: Tiyou Elevator Parts. Mới 100%</v>
      </c>
      <c r="D121" s="21">
        <f>'HỢP ĐỒNG'!I138</f>
        <v>84313120</v>
      </c>
      <c r="E121" s="22" t="s">
        <v>73</v>
      </c>
      <c r="F121" s="23">
        <f>'HỢP ĐỒNG'!E138</f>
        <v>200</v>
      </c>
      <c r="G121" s="396" t="str">
        <f>'INVOICE lam CO'!D134</f>
        <v>PCE</v>
      </c>
      <c r="H121" s="397">
        <v>200</v>
      </c>
      <c r="I121" s="399" t="s">
        <v>143</v>
      </c>
      <c r="J121" s="404">
        <f>'HỢP ĐỒNG'!F138</f>
        <v>1.39</v>
      </c>
      <c r="M121" s="26" t="s">
        <v>97</v>
      </c>
      <c r="Y121" s="27" t="str">
        <f t="shared" si="1"/>
        <v>VB245</v>
      </c>
      <c r="Z121" s="206">
        <f>'HỢP ĐỒNG'!P138</f>
        <v>0.08</v>
      </c>
    </row>
    <row r="122" spans="1:26" ht="30">
      <c r="A122" s="19">
        <f>'HỢP ĐỒNG'!A139</f>
        <v>121</v>
      </c>
      <c r="C122" s="20" t="str">
        <f>'HỢP ĐỒNG'!C139</f>
        <v>Bánh xe treo cửa thang máy, rãnh phẳng, chất liệu bằng thép không gỉ. KT: (62*16)mm, model: 6203, không hiệu. NSX: Tiyou Elevator Parts. Mới 100%</v>
      </c>
      <c r="D122" s="21">
        <f>'HỢP ĐỒNG'!I139</f>
        <v>84313120</v>
      </c>
      <c r="E122" s="22" t="s">
        <v>73</v>
      </c>
      <c r="F122" s="23">
        <f>'HỢP ĐỒNG'!E139</f>
        <v>150</v>
      </c>
      <c r="G122" s="396" t="str">
        <f>'INVOICE lam CO'!D135</f>
        <v>PCE</v>
      </c>
      <c r="H122" s="397">
        <v>150</v>
      </c>
      <c r="I122" s="399" t="s">
        <v>143</v>
      </c>
      <c r="J122" s="404">
        <f>'HỢP ĐỒNG'!F139</f>
        <v>2.0699999999999998</v>
      </c>
      <c r="M122" s="26" t="s">
        <v>97</v>
      </c>
      <c r="Y122" s="27" t="str">
        <f t="shared" si="1"/>
        <v>VB245</v>
      </c>
      <c r="Z122" s="206">
        <f>'HỢP ĐỒNG'!P139</f>
        <v>0.08</v>
      </c>
    </row>
    <row r="123" spans="1:26" ht="45">
      <c r="A123" s="19">
        <f>'HỢP ĐỒNG'!A140</f>
        <v>122</v>
      </c>
      <c r="C123" s="20" t="str">
        <f>'HỢP ĐỒNG'!C140</f>
        <v>Bông hoa tuylip nhân tạo, chất liệu nhựa PVC, lõi bằng thép, đã định hình hoàn chỉnh, dùng để trang trí. KT: (35*4)cm+/-10%, không hiệu. NSX: Yuchen Artificial Flower Strength Supplier, mới 100%</v>
      </c>
      <c r="D123" s="21">
        <f>'HỢP ĐỒNG'!I140</f>
        <v>67029090</v>
      </c>
      <c r="E123" s="22" t="s">
        <v>73</v>
      </c>
      <c r="F123" s="23">
        <f>'HỢP ĐỒNG'!E140</f>
        <v>10000</v>
      </c>
      <c r="G123" s="396" t="str">
        <f>'INVOICE lam CO'!D136</f>
        <v>PCE</v>
      </c>
      <c r="H123" s="397">
        <v>105</v>
      </c>
      <c r="I123" s="399" t="s">
        <v>80</v>
      </c>
      <c r="J123" s="404">
        <f>'HỢP ĐỒNG'!F140</f>
        <v>7.4999999999999997E-2</v>
      </c>
      <c r="M123" s="26" t="s">
        <v>97</v>
      </c>
      <c r="Y123" s="27" t="str">
        <f>IF(Z123=8%,"VB245",IF(Z123=10%,"VB901",IF(Z123=5%,"VB185","")))</f>
        <v>VB245</v>
      </c>
      <c r="Z123" s="206">
        <f>'HỢP ĐỒNG'!P140</f>
        <v>0.08</v>
      </c>
    </row>
    <row r="124" spans="1:26" ht="45">
      <c r="A124" s="19">
        <f>'HỢP ĐỒNG'!A141</f>
        <v>123</v>
      </c>
      <c r="C124" s="20" t="str">
        <f>'HỢP ĐỒNG'!C141</f>
        <v>Giấy gói hoa dạng giấy nhún, được làm từ bột gỗ xenlulo, đã nhuộm màu bề mặt, dạng tấm, KT: (50*230)cm+/-10%, không hiệu. Nsx: Jiangxi Yuanna Packaging Material Co., Ltd. Mới 100%</v>
      </c>
      <c r="D124" s="21">
        <f>'HỢP ĐỒNG'!I141</f>
        <v>48119093</v>
      </c>
      <c r="E124" s="22" t="s">
        <v>73</v>
      </c>
      <c r="F124" s="23">
        <f>'HỢP ĐỒNG'!E141</f>
        <v>398</v>
      </c>
      <c r="G124" s="396" t="str">
        <f>'INVOICE lam CO'!D137</f>
        <v>KGM</v>
      </c>
      <c r="H124" s="397">
        <v>398</v>
      </c>
      <c r="I124" s="399" t="s">
        <v>80</v>
      </c>
      <c r="J124" s="404">
        <f>'HỢP ĐỒNG'!F141</f>
        <v>0.8</v>
      </c>
      <c r="M124" s="26" t="s">
        <v>97</v>
      </c>
      <c r="Y124" s="27" t="str">
        <f t="shared" ref="Y124:Y125" si="2">IF(Z124=8%,"VB245",IF(Z124=10%,"VB901",IF(Z124=5%,"VB185","")))</f>
        <v>VB245</v>
      </c>
      <c r="Z124" s="206">
        <f>'HỢP ĐỒNG'!P141</f>
        <v>0.08</v>
      </c>
    </row>
    <row r="125" spans="1:26" ht="45">
      <c r="A125" s="19">
        <f>'HỢP ĐỒNG'!A142</f>
        <v>124</v>
      </c>
      <c r="C125" s="20" t="str">
        <f>'HỢP ĐỒNG'!C142</f>
        <v>Máy phun sơn tĩnh điện dùng để phun sơn hoàn thiện bề mặt các sản phẩm bằng kim loại,kèm khung đỡ có bánh xe.Model:FlexiSpray F1,điện áp:AC100-240,CS: 50W. NSX: Foshan Debelle Technology,mới 100%</v>
      </c>
      <c r="D125" s="21">
        <f>'HỢP ĐỒNG'!I142</f>
        <v>84242029</v>
      </c>
      <c r="E125" s="22" t="s">
        <v>73</v>
      </c>
      <c r="F125" s="23">
        <f>'HỢP ĐỒNG'!E142</f>
        <v>2</v>
      </c>
      <c r="G125" s="396" t="str">
        <f>'INVOICE lam CO'!D138</f>
        <v>PCE</v>
      </c>
      <c r="H125" s="397">
        <v>2</v>
      </c>
      <c r="I125" s="399" t="s">
        <v>143</v>
      </c>
      <c r="J125" s="404">
        <f>'HỢP ĐỒNG'!F142</f>
        <v>1884.87</v>
      </c>
      <c r="M125" s="26" t="s">
        <v>97</v>
      </c>
      <c r="Y125" s="27" t="str">
        <f t="shared" si="2"/>
        <v>VB245</v>
      </c>
      <c r="Z125" s="206">
        <f>'HỢP ĐỒNG'!P142</f>
        <v>0.08</v>
      </c>
    </row>
  </sheetData>
  <autoFilter ref="A1:Z1" xr:uid="{B03D9799-8A84-43EE-BE47-671A45D8EC38}"/>
  <phoneticPr fontId="22"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EF3A9-ECD7-4B83-ABE9-5B05F29B2746}">
  <sheetPr codeName="Sheet1">
    <tabColor indexed="60"/>
  </sheetPr>
  <dimension ref="A1:K140"/>
  <sheetViews>
    <sheetView topLeftCell="A127" zoomScale="79" zoomScaleNormal="79" workbookViewId="0">
      <selection activeCell="A133" sqref="A133:XFD133"/>
    </sheetView>
  </sheetViews>
  <sheetFormatPr defaultColWidth="10.28515625" defaultRowHeight="15.75"/>
  <cols>
    <col min="1" max="1" width="4.28515625" style="3" customWidth="1"/>
    <col min="2" max="2" width="41.28515625" style="3" customWidth="1"/>
    <col min="3" max="3" width="21.42578125" style="3" bestFit="1" customWidth="1"/>
    <col min="4" max="4" width="8.5703125" style="3" customWidth="1"/>
    <col min="5" max="5" width="18" style="3" customWidth="1"/>
    <col min="6" max="6" width="17" style="330" bestFit="1" customWidth="1"/>
    <col min="7" max="7" width="12.42578125" style="323" customWidth="1"/>
    <col min="8" max="8" width="8.5703125" style="134" hidden="1" customWidth="1"/>
    <col min="9" max="9" width="66" style="152" hidden="1" customWidth="1"/>
    <col min="10" max="12" width="0" style="3" hidden="1" customWidth="1"/>
    <col min="13" max="16384" width="10.28515625" style="3"/>
  </cols>
  <sheetData>
    <row r="1" spans="1:11" ht="22.5">
      <c r="A1" s="443" t="s">
        <v>48</v>
      </c>
      <c r="B1" s="443"/>
      <c r="C1" s="443"/>
      <c r="D1" s="443"/>
      <c r="E1" s="443"/>
      <c r="F1" s="443"/>
      <c r="G1" s="443"/>
      <c r="H1" s="133"/>
    </row>
    <row r="3" spans="1:11" s="2" customFormat="1" ht="15">
      <c r="B3" s="4" t="s">
        <v>36</v>
      </c>
      <c r="C3" s="441" t="str">
        <f>INVOICE!F4</f>
        <v>0902
GF-TH/26</v>
      </c>
      <c r="D3" s="442"/>
      <c r="F3" s="324"/>
      <c r="G3" s="317"/>
      <c r="H3" s="135"/>
      <c r="I3" s="153"/>
    </row>
    <row r="4" spans="1:11" s="2" customFormat="1" ht="15">
      <c r="B4" s="4" t="s">
        <v>39</v>
      </c>
      <c r="C4" s="444">
        <f>INVOICE!F5</f>
        <v>46271</v>
      </c>
      <c r="D4" s="444"/>
      <c r="F4" s="324"/>
      <c r="G4" s="317"/>
      <c r="H4" s="135"/>
      <c r="I4" s="153"/>
    </row>
    <row r="5" spans="1:11" s="2" customFormat="1" ht="15">
      <c r="B5" s="4"/>
      <c r="C5" s="441"/>
      <c r="D5" s="442"/>
      <c r="F5" s="324"/>
      <c r="G5" s="317"/>
      <c r="H5" s="135"/>
      <c r="I5" s="153"/>
    </row>
    <row r="6" spans="1:11" s="2" customFormat="1" ht="42.75" customHeight="1">
      <c r="A6" s="151" t="s">
        <v>175</v>
      </c>
      <c r="B6" s="1"/>
      <c r="C6" s="1"/>
      <c r="D6" s="1"/>
      <c r="E6" s="1"/>
      <c r="F6" s="325"/>
      <c r="G6" s="318"/>
      <c r="H6" s="1"/>
      <c r="I6" s="153"/>
    </row>
    <row r="7" spans="1:11" s="2" customFormat="1" ht="42.75" customHeight="1">
      <c r="A7" s="446" t="s">
        <v>176</v>
      </c>
      <c r="B7" s="446"/>
      <c r="C7" s="446"/>
      <c r="D7" s="446"/>
      <c r="E7" s="446"/>
      <c r="F7" s="446"/>
      <c r="G7" s="446"/>
      <c r="H7" s="446"/>
      <c r="I7" s="446"/>
    </row>
    <row r="8" spans="1:11" s="2" customFormat="1" ht="15">
      <c r="A8" s="29"/>
      <c r="B8" s="30"/>
      <c r="C8" s="30"/>
      <c r="D8" s="30"/>
      <c r="E8" s="30"/>
      <c r="F8" s="326"/>
      <c r="G8" s="319"/>
      <c r="H8" s="136"/>
      <c r="I8" s="153"/>
    </row>
    <row r="9" spans="1:11" s="2" customFormat="1" ht="15">
      <c r="A9" s="31" t="s">
        <v>62</v>
      </c>
      <c r="B9" s="30"/>
      <c r="C9" s="31"/>
      <c r="D9" s="30"/>
      <c r="E9" s="30"/>
      <c r="F9" s="326"/>
      <c r="G9" s="319"/>
      <c r="H9" s="136"/>
      <c r="I9" s="153"/>
    </row>
    <row r="10" spans="1:11" s="2" customFormat="1" ht="15">
      <c r="A10" s="30"/>
      <c r="B10" s="30"/>
      <c r="C10" s="30"/>
      <c r="D10" s="30"/>
      <c r="E10" s="30"/>
      <c r="F10" s="326"/>
      <c r="G10" s="319"/>
      <c r="H10" s="136"/>
      <c r="I10" s="153"/>
    </row>
    <row r="11" spans="1:11" s="2" customFormat="1" ht="15">
      <c r="A11" s="31" t="s">
        <v>155</v>
      </c>
      <c r="B11" s="30"/>
      <c r="C11" s="31" t="s">
        <v>49</v>
      </c>
      <c r="D11" s="30"/>
      <c r="E11" s="30"/>
      <c r="F11" s="326"/>
      <c r="G11" s="319"/>
      <c r="H11" s="136"/>
      <c r="I11" s="153"/>
    </row>
    <row r="12" spans="1:11" s="2" customFormat="1" ht="15">
      <c r="A12" s="1"/>
      <c r="B12" s="1"/>
      <c r="C12" s="1"/>
      <c r="D12" s="1"/>
      <c r="E12" s="32" t="s">
        <v>186</v>
      </c>
      <c r="F12" s="327"/>
      <c r="G12" s="320"/>
      <c r="H12" s="137"/>
      <c r="I12" s="153"/>
    </row>
    <row r="13" spans="1:11" s="2" customFormat="1" ht="15">
      <c r="F13" s="324"/>
      <c r="G13" s="317"/>
      <c r="H13" s="135"/>
      <c r="I13" s="153"/>
    </row>
    <row r="14" spans="1:11" s="7" customFormat="1" ht="39" customHeight="1">
      <c r="A14" s="5" t="s">
        <v>53</v>
      </c>
      <c r="B14" s="6" t="s">
        <v>50</v>
      </c>
      <c r="C14" s="5" t="s">
        <v>56</v>
      </c>
      <c r="D14" s="5" t="s">
        <v>51</v>
      </c>
      <c r="E14" s="5" t="s">
        <v>52</v>
      </c>
      <c r="F14" s="328" t="s">
        <v>54</v>
      </c>
      <c r="G14" s="321" t="s">
        <v>55</v>
      </c>
      <c r="H14" s="9" t="s">
        <v>99</v>
      </c>
      <c r="I14" s="153"/>
    </row>
    <row r="15" spans="1:11" s="66" customFormat="1" ht="39" customHeight="1">
      <c r="A15" s="385">
        <f>'HỢP ĐỒNG'!A19</f>
        <v>1</v>
      </c>
      <c r="B15" s="356" t="s">
        <v>361</v>
      </c>
      <c r="C15" s="387">
        <f>'HỢP ĐỒNG'!I19</f>
        <v>63071090</v>
      </c>
      <c r="D15" s="38" t="str">
        <f>'HỢP ĐỒNG'!D19</f>
        <v>PCE</v>
      </c>
      <c r="E15" s="67">
        <f>'HỢP ĐỒNG'!E19</f>
        <v>20000</v>
      </c>
      <c r="F15" s="329">
        <f>'HỢP ĐỒNG'!F19</f>
        <v>9.4E-2</v>
      </c>
      <c r="G15" s="322">
        <f>F15*E15</f>
        <v>1880</v>
      </c>
      <c r="H15" s="142">
        <f>PACKINGLIST!F13</f>
        <v>10</v>
      </c>
      <c r="I15" s="154" t="str">
        <f>'HỢP ĐỒNG'!C19</f>
        <v>Khăn lau bụi dùng để lau xe hơi, chất liệu vải dệt kim từ sợi polyester, KT:(30*30)cm, không hiệu, NSX: Qingdao Tao Hui Industrial. Mới 100%</v>
      </c>
      <c r="J15" s="66" t="str">
        <f>'HỢP ĐỒNG'!D19</f>
        <v>PCE</v>
      </c>
      <c r="K15" s="231" t="str">
        <f>'HỢP ĐỒNG'!B19</f>
        <v>CN082822-10HN</v>
      </c>
    </row>
    <row r="16" spans="1:11" s="66" customFormat="1" ht="39" customHeight="1">
      <c r="A16" s="385">
        <f>'HỢP ĐỒNG'!A20</f>
        <v>2</v>
      </c>
      <c r="B16" s="356" t="s">
        <v>362</v>
      </c>
      <c r="C16" s="387">
        <f>'HỢP ĐỒNG'!I20</f>
        <v>69120000</v>
      </c>
      <c r="D16" s="38" t="str">
        <f>'HỢP ĐỒNG'!D20</f>
        <v>SET</v>
      </c>
      <c r="E16" s="67">
        <f>'HỢP ĐỒNG'!E20</f>
        <v>20</v>
      </c>
      <c r="F16" s="329">
        <f>'HỢP ĐỒNG'!F20</f>
        <v>5.16</v>
      </c>
      <c r="G16" s="322">
        <f t="shared" ref="G16:G79" si="0">F16*E16</f>
        <v>103.2</v>
      </c>
      <c r="H16" s="142"/>
      <c r="I16" s="154"/>
      <c r="K16" s="231"/>
    </row>
    <row r="17" spans="1:11" s="66" customFormat="1" ht="39" customHeight="1">
      <c r="A17" s="385">
        <f>'HỢP ĐỒNG'!A21</f>
        <v>3</v>
      </c>
      <c r="B17" s="356" t="s">
        <v>362</v>
      </c>
      <c r="C17" s="387">
        <f>'HỢP ĐỒNG'!I21</f>
        <v>69120000</v>
      </c>
      <c r="D17" s="38" t="str">
        <f>'HỢP ĐỒNG'!D21</f>
        <v>SET</v>
      </c>
      <c r="E17" s="67">
        <f>'HỢP ĐỒNG'!E21</f>
        <v>20</v>
      </c>
      <c r="F17" s="329">
        <f>'HỢP ĐỒNG'!F21</f>
        <v>4.09</v>
      </c>
      <c r="G17" s="322">
        <f t="shared" si="0"/>
        <v>81.8</v>
      </c>
      <c r="H17" s="142"/>
      <c r="I17" s="154"/>
      <c r="K17" s="231"/>
    </row>
    <row r="18" spans="1:11" s="66" customFormat="1" ht="39" customHeight="1">
      <c r="A18" s="385">
        <f>'HỢP ĐỒNG'!A22</f>
        <v>4</v>
      </c>
      <c r="B18" s="356" t="s">
        <v>362</v>
      </c>
      <c r="C18" s="387">
        <f>'HỢP ĐỒNG'!I22</f>
        <v>69120000</v>
      </c>
      <c r="D18" s="38" t="str">
        <f>'HỢP ĐỒNG'!D22</f>
        <v>SET</v>
      </c>
      <c r="E18" s="67">
        <f>'HỢP ĐỒNG'!E22</f>
        <v>50</v>
      </c>
      <c r="F18" s="329">
        <f>'HỢP ĐỒNG'!F22</f>
        <v>5.69</v>
      </c>
      <c r="G18" s="322">
        <f t="shared" si="0"/>
        <v>284.5</v>
      </c>
      <c r="H18" s="142"/>
      <c r="I18" s="154"/>
      <c r="K18" s="231"/>
    </row>
    <row r="19" spans="1:11" s="66" customFormat="1" ht="39" customHeight="1">
      <c r="A19" s="385">
        <f>'HỢP ĐỒNG'!A23</f>
        <v>5</v>
      </c>
      <c r="B19" s="356" t="s">
        <v>363</v>
      </c>
      <c r="C19" s="387">
        <f>'HỢP ĐỒNG'!I23</f>
        <v>69120000</v>
      </c>
      <c r="D19" s="38" t="str">
        <f>'HỢP ĐỒNG'!D23</f>
        <v>PCE</v>
      </c>
      <c r="E19" s="67">
        <f>'HỢP ĐỒNG'!E23</f>
        <v>10</v>
      </c>
      <c r="F19" s="329">
        <f>'HỢP ĐỒNG'!F23</f>
        <v>13.6</v>
      </c>
      <c r="G19" s="322">
        <f t="shared" si="0"/>
        <v>136</v>
      </c>
      <c r="H19" s="142"/>
      <c r="I19" s="154"/>
      <c r="K19" s="231"/>
    </row>
    <row r="20" spans="1:11" s="66" customFormat="1" ht="39" customHeight="1">
      <c r="A20" s="385">
        <f>'HỢP ĐỒNG'!A24</f>
        <v>6</v>
      </c>
      <c r="B20" s="356" t="s">
        <v>363</v>
      </c>
      <c r="C20" s="387">
        <f>'HỢP ĐỒNG'!I24</f>
        <v>69120000</v>
      </c>
      <c r="D20" s="38" t="str">
        <f>'HỢP ĐỒNG'!D24</f>
        <v>PCE</v>
      </c>
      <c r="E20" s="67">
        <f>'HỢP ĐỒNG'!E24</f>
        <v>15</v>
      </c>
      <c r="F20" s="329">
        <f>'HỢP ĐỒNG'!F24</f>
        <v>10.46</v>
      </c>
      <c r="G20" s="322">
        <f t="shared" si="0"/>
        <v>156.9</v>
      </c>
      <c r="H20" s="142"/>
      <c r="I20" s="154"/>
      <c r="K20" s="231"/>
    </row>
    <row r="21" spans="1:11" s="66" customFormat="1" ht="39" customHeight="1">
      <c r="A21" s="385">
        <f>'HỢP ĐỒNG'!A25</f>
        <v>7</v>
      </c>
      <c r="B21" s="356" t="s">
        <v>364</v>
      </c>
      <c r="C21" s="387">
        <f>'HỢP ĐỒNG'!I25</f>
        <v>69120000</v>
      </c>
      <c r="D21" s="38" t="str">
        <f>'HỢP ĐỒNG'!D25</f>
        <v>PCE</v>
      </c>
      <c r="E21" s="67">
        <f>'HỢP ĐỒNG'!E25</f>
        <v>20</v>
      </c>
      <c r="F21" s="329">
        <f>'HỢP ĐỒNG'!F25</f>
        <v>4.49</v>
      </c>
      <c r="G21" s="322">
        <f t="shared" si="0"/>
        <v>89.800000000000011</v>
      </c>
      <c r="H21" s="142"/>
      <c r="I21" s="154"/>
      <c r="K21" s="231"/>
    </row>
    <row r="22" spans="1:11" s="66" customFormat="1" ht="39" customHeight="1">
      <c r="A22" s="385">
        <f>'HỢP ĐỒNG'!A26</f>
        <v>8</v>
      </c>
      <c r="B22" s="356" t="s">
        <v>363</v>
      </c>
      <c r="C22" s="387">
        <f>'HỢP ĐỒNG'!I26</f>
        <v>69120000</v>
      </c>
      <c r="D22" s="38" t="str">
        <f>'HỢP ĐỒNG'!D26</f>
        <v>PCE</v>
      </c>
      <c r="E22" s="67">
        <f>'HỢP ĐỒNG'!E26</f>
        <v>10</v>
      </c>
      <c r="F22" s="329">
        <f>'HỢP ĐỒNG'!F26</f>
        <v>16.739999999999998</v>
      </c>
      <c r="G22" s="322">
        <f t="shared" si="0"/>
        <v>167.39999999999998</v>
      </c>
      <c r="H22" s="142"/>
      <c r="I22" s="154"/>
      <c r="K22" s="231"/>
    </row>
    <row r="23" spans="1:11" s="66" customFormat="1" ht="39" customHeight="1">
      <c r="A23" s="385">
        <f>'HỢP ĐỒNG'!A27</f>
        <v>9</v>
      </c>
      <c r="B23" s="356" t="s">
        <v>363</v>
      </c>
      <c r="C23" s="387">
        <f>'HỢP ĐỒNG'!I27</f>
        <v>69120000</v>
      </c>
      <c r="D23" s="38" t="str">
        <f>'HỢP ĐỒNG'!D27</f>
        <v>PCE</v>
      </c>
      <c r="E23" s="67">
        <f>'HỢP ĐỒNG'!E27</f>
        <v>5</v>
      </c>
      <c r="F23" s="329">
        <f>'HỢP ĐỒNG'!F27</f>
        <v>15.69</v>
      </c>
      <c r="G23" s="322">
        <f t="shared" si="0"/>
        <v>78.45</v>
      </c>
      <c r="H23" s="142"/>
      <c r="I23" s="154"/>
      <c r="K23" s="231"/>
    </row>
    <row r="24" spans="1:11" s="66" customFormat="1" ht="39" customHeight="1">
      <c r="A24" s="385">
        <f>'HỢP ĐỒNG'!A28</f>
        <v>10</v>
      </c>
      <c r="B24" s="356" t="s">
        <v>363</v>
      </c>
      <c r="C24" s="387">
        <f>'HỢP ĐỒNG'!I28</f>
        <v>69120000</v>
      </c>
      <c r="D24" s="38" t="str">
        <f>'HỢP ĐỒNG'!D28</f>
        <v>PCE</v>
      </c>
      <c r="E24" s="67">
        <f>'HỢP ĐỒNG'!E28</f>
        <v>10</v>
      </c>
      <c r="F24" s="329">
        <f>'HỢP ĐỒNG'!F28</f>
        <v>17.09</v>
      </c>
      <c r="G24" s="322">
        <f t="shared" si="0"/>
        <v>170.9</v>
      </c>
      <c r="H24" s="142"/>
      <c r="I24" s="154"/>
      <c r="K24" s="231"/>
    </row>
    <row r="25" spans="1:11" s="66" customFormat="1" ht="39" customHeight="1">
      <c r="A25" s="385">
        <f>'HỢP ĐỒNG'!A29</f>
        <v>11</v>
      </c>
      <c r="B25" s="356" t="s">
        <v>363</v>
      </c>
      <c r="C25" s="387">
        <f>'HỢP ĐỒNG'!I29</f>
        <v>69120000</v>
      </c>
      <c r="D25" s="38" t="str">
        <f>'HỢP ĐỒNG'!D29</f>
        <v>PCE</v>
      </c>
      <c r="E25" s="67">
        <f>'HỢP ĐỒNG'!E29</f>
        <v>10</v>
      </c>
      <c r="F25" s="329">
        <f>'HỢP ĐỒNG'!F29</f>
        <v>14.47</v>
      </c>
      <c r="G25" s="322">
        <f t="shared" si="0"/>
        <v>144.70000000000002</v>
      </c>
      <c r="H25" s="142"/>
      <c r="I25" s="154"/>
      <c r="K25" s="231"/>
    </row>
    <row r="26" spans="1:11" s="66" customFormat="1" ht="39" customHeight="1">
      <c r="A26" s="385">
        <f>'HỢP ĐỒNG'!A30</f>
        <v>12</v>
      </c>
      <c r="B26" s="356" t="s">
        <v>363</v>
      </c>
      <c r="C26" s="387">
        <f>'HỢP ĐỒNG'!I30</f>
        <v>69120000</v>
      </c>
      <c r="D26" s="38" t="str">
        <f>'HỢP ĐỒNG'!D30</f>
        <v>PCE</v>
      </c>
      <c r="E26" s="67">
        <f>'HỢP ĐỒNG'!E30</f>
        <v>3</v>
      </c>
      <c r="F26" s="329">
        <f>'HỢP ĐỒNG'!F30</f>
        <v>20.46</v>
      </c>
      <c r="G26" s="322">
        <f t="shared" si="0"/>
        <v>61.38</v>
      </c>
      <c r="H26" s="142"/>
      <c r="I26" s="154"/>
      <c r="K26" s="231"/>
    </row>
    <row r="27" spans="1:11" s="66" customFormat="1" ht="39" customHeight="1">
      <c r="A27" s="385">
        <f>'HỢP ĐỒNG'!A31</f>
        <v>13</v>
      </c>
      <c r="B27" s="356" t="s">
        <v>363</v>
      </c>
      <c r="C27" s="387">
        <f>'HỢP ĐỒNG'!I31</f>
        <v>69120000</v>
      </c>
      <c r="D27" s="38" t="str">
        <f>'HỢP ĐỒNG'!D31</f>
        <v>PCE</v>
      </c>
      <c r="E27" s="67">
        <f>'HỢP ĐỒNG'!E31</f>
        <v>3</v>
      </c>
      <c r="F27" s="329">
        <f>'HỢP ĐỒNG'!F31</f>
        <v>28.47</v>
      </c>
      <c r="G27" s="322">
        <f t="shared" si="0"/>
        <v>85.41</v>
      </c>
      <c r="H27" s="142"/>
      <c r="I27" s="154"/>
      <c r="K27" s="231"/>
    </row>
    <row r="28" spans="1:11" s="66" customFormat="1" ht="39" customHeight="1">
      <c r="A28" s="385">
        <f>'HỢP ĐỒNG'!A32</f>
        <v>14</v>
      </c>
      <c r="B28" s="356" t="s">
        <v>363</v>
      </c>
      <c r="C28" s="387">
        <f>'HỢP ĐỒNG'!I32</f>
        <v>69120000</v>
      </c>
      <c r="D28" s="38" t="str">
        <f>'HỢP ĐỒNG'!D32</f>
        <v>PCE</v>
      </c>
      <c r="E28" s="67">
        <f>'HỢP ĐỒNG'!E32</f>
        <v>5</v>
      </c>
      <c r="F28" s="329">
        <f>'HỢP ĐỒNG'!F32</f>
        <v>39.15</v>
      </c>
      <c r="G28" s="322">
        <f t="shared" si="0"/>
        <v>195.75</v>
      </c>
      <c r="H28" s="142"/>
      <c r="I28" s="154"/>
      <c r="K28" s="231"/>
    </row>
    <row r="29" spans="1:11" s="66" customFormat="1" ht="39" customHeight="1">
      <c r="A29" s="385">
        <f>'HỢP ĐỒNG'!A33</f>
        <v>15</v>
      </c>
      <c r="B29" s="356" t="s">
        <v>365</v>
      </c>
      <c r="C29" s="387">
        <f>'HỢP ĐỒNG'!I33</f>
        <v>69120000</v>
      </c>
      <c r="D29" s="38" t="str">
        <f>'HỢP ĐỒNG'!D33</f>
        <v>PCE</v>
      </c>
      <c r="E29" s="67">
        <f>'HỢP ĐỒNG'!E33</f>
        <v>5</v>
      </c>
      <c r="F29" s="329">
        <f>'HỢP ĐỒNG'!F33</f>
        <v>26.69</v>
      </c>
      <c r="G29" s="322">
        <f t="shared" si="0"/>
        <v>133.45000000000002</v>
      </c>
      <c r="H29" s="142"/>
      <c r="I29" s="154"/>
      <c r="K29" s="231"/>
    </row>
    <row r="30" spans="1:11" s="66" customFormat="1" ht="39" customHeight="1">
      <c r="A30" s="385">
        <f>'HỢP ĐỒNG'!A34</f>
        <v>16</v>
      </c>
      <c r="B30" s="356" t="s">
        <v>366</v>
      </c>
      <c r="C30" s="387">
        <f>'HỢP ĐỒNG'!I34</f>
        <v>69120000</v>
      </c>
      <c r="D30" s="38" t="str">
        <f>'HỢP ĐỒNG'!D34</f>
        <v>PCE</v>
      </c>
      <c r="E30" s="67">
        <f>'HỢP ĐỒNG'!E34</f>
        <v>5</v>
      </c>
      <c r="F30" s="329">
        <f>'HỢP ĐỒNG'!F34</f>
        <v>24.02</v>
      </c>
      <c r="G30" s="322">
        <f t="shared" si="0"/>
        <v>120.1</v>
      </c>
      <c r="H30" s="142"/>
      <c r="I30" s="154"/>
      <c r="K30" s="231"/>
    </row>
    <row r="31" spans="1:11" s="66" customFormat="1" ht="39" customHeight="1">
      <c r="A31" s="385">
        <f>'HỢP ĐỒNG'!A35</f>
        <v>17</v>
      </c>
      <c r="B31" s="356" t="s">
        <v>363</v>
      </c>
      <c r="C31" s="387">
        <f>'HỢP ĐỒNG'!I35</f>
        <v>69120000</v>
      </c>
      <c r="D31" s="38" t="str">
        <f>'HỢP ĐỒNG'!D35</f>
        <v>PCE</v>
      </c>
      <c r="E31" s="67">
        <f>'HỢP ĐỒNG'!E35</f>
        <v>5</v>
      </c>
      <c r="F31" s="329">
        <f>'HỢP ĐỒNG'!F35</f>
        <v>53.38</v>
      </c>
      <c r="G31" s="322">
        <f t="shared" si="0"/>
        <v>266.90000000000003</v>
      </c>
      <c r="H31" s="142"/>
      <c r="I31" s="154"/>
      <c r="K31" s="231"/>
    </row>
    <row r="32" spans="1:11" s="66" customFormat="1" ht="39" customHeight="1">
      <c r="A32" s="385">
        <f>'HỢP ĐỒNG'!A36</f>
        <v>18</v>
      </c>
      <c r="B32" s="356" t="s">
        <v>363</v>
      </c>
      <c r="C32" s="387">
        <f>'HỢP ĐỒNG'!I36</f>
        <v>69120000</v>
      </c>
      <c r="D32" s="38" t="str">
        <f>'HỢP ĐỒNG'!D36</f>
        <v>PCE</v>
      </c>
      <c r="E32" s="67">
        <f>'HỢP ĐỒNG'!E36</f>
        <v>5</v>
      </c>
      <c r="F32" s="329">
        <f>'HỢP ĐỒNG'!F36</f>
        <v>29.89</v>
      </c>
      <c r="G32" s="322">
        <f t="shared" si="0"/>
        <v>149.44999999999999</v>
      </c>
      <c r="H32" s="142"/>
      <c r="I32" s="154"/>
      <c r="K32" s="231"/>
    </row>
    <row r="33" spans="1:11" s="66" customFormat="1" ht="39" customHeight="1">
      <c r="A33" s="385">
        <f>'HỢP ĐỒNG'!A37</f>
        <v>19</v>
      </c>
      <c r="B33" s="356" t="s">
        <v>363</v>
      </c>
      <c r="C33" s="387">
        <f>'HỢP ĐỒNG'!I37</f>
        <v>69120000</v>
      </c>
      <c r="D33" s="38" t="str">
        <f>'HỢP ĐỒNG'!D37</f>
        <v>PCE</v>
      </c>
      <c r="E33" s="67">
        <f>'HỢP ĐỒNG'!E37</f>
        <v>3</v>
      </c>
      <c r="F33" s="329">
        <f>'HỢP ĐỒNG'!F37</f>
        <v>32.03</v>
      </c>
      <c r="G33" s="322">
        <f t="shared" si="0"/>
        <v>96.09</v>
      </c>
      <c r="H33" s="142"/>
      <c r="I33" s="154"/>
      <c r="K33" s="231"/>
    </row>
    <row r="34" spans="1:11" s="66" customFormat="1" ht="39" customHeight="1">
      <c r="A34" s="385">
        <f>'HỢP ĐỒNG'!A38</f>
        <v>20</v>
      </c>
      <c r="B34" s="356" t="s">
        <v>367</v>
      </c>
      <c r="C34" s="387">
        <v>85363090</v>
      </c>
      <c r="D34" s="38" t="str">
        <f>'HỢP ĐỒNG'!D38</f>
        <v>PCE</v>
      </c>
      <c r="E34" s="67">
        <f>'HỢP ĐỒNG'!E38</f>
        <v>500</v>
      </c>
      <c r="F34" s="329">
        <f>'HỢP ĐỒNG'!F38</f>
        <v>5.47</v>
      </c>
      <c r="G34" s="322">
        <f t="shared" si="0"/>
        <v>2735</v>
      </c>
      <c r="H34" s="142"/>
      <c r="I34" s="154"/>
      <c r="K34" s="231"/>
    </row>
    <row r="35" spans="1:11" s="66" customFormat="1" ht="39" customHeight="1">
      <c r="A35" s="385">
        <f>'HỢP ĐỒNG'!A39</f>
        <v>21</v>
      </c>
      <c r="B35" s="356" t="s">
        <v>367</v>
      </c>
      <c r="C35" s="387">
        <v>85363090</v>
      </c>
      <c r="D35" s="38" t="str">
        <f>'HỢP ĐỒNG'!D39</f>
        <v>PCE</v>
      </c>
      <c r="E35" s="67">
        <f>'HỢP ĐỒNG'!E39</f>
        <v>300</v>
      </c>
      <c r="F35" s="329">
        <f>'HỢP ĐỒNG'!F39</f>
        <v>8.2899999999999991</v>
      </c>
      <c r="G35" s="322">
        <f t="shared" si="0"/>
        <v>2486.9999999999995</v>
      </c>
      <c r="H35" s="142"/>
      <c r="I35" s="154"/>
      <c r="K35" s="231"/>
    </row>
    <row r="36" spans="1:11" s="66" customFormat="1" ht="39" customHeight="1">
      <c r="A36" s="385">
        <f>'HỢP ĐỒNG'!A40</f>
        <v>22</v>
      </c>
      <c r="B36" s="356" t="s">
        <v>368</v>
      </c>
      <c r="C36" s="387">
        <f>'HỢP ĐỒNG'!I40</f>
        <v>73269099</v>
      </c>
      <c r="D36" s="38" t="str">
        <f>'HỢP ĐỒNG'!D40</f>
        <v>PCE</v>
      </c>
      <c r="E36" s="67">
        <f>'HỢP ĐỒNG'!E40</f>
        <v>300</v>
      </c>
      <c r="F36" s="329">
        <f>'HỢP ĐỒNG'!F40</f>
        <v>4.49</v>
      </c>
      <c r="G36" s="322">
        <f t="shared" si="0"/>
        <v>1347</v>
      </c>
      <c r="H36" s="142"/>
      <c r="I36" s="154"/>
      <c r="K36" s="231"/>
    </row>
    <row r="37" spans="1:11" s="66" customFormat="1" ht="39" customHeight="1">
      <c r="A37" s="385">
        <f>'HỢP ĐỒNG'!A41</f>
        <v>23</v>
      </c>
      <c r="B37" s="356" t="s">
        <v>369</v>
      </c>
      <c r="C37" s="387">
        <f>'HỢP ĐỒNG'!I41</f>
        <v>95069990</v>
      </c>
      <c r="D37" s="38" t="str">
        <f>'HỢP ĐỒNG'!D41</f>
        <v>PCE</v>
      </c>
      <c r="E37" s="67">
        <f>'HỢP ĐỒNG'!E41</f>
        <v>400</v>
      </c>
      <c r="F37" s="329">
        <f>'HỢP ĐỒNG'!F41</f>
        <v>9.24</v>
      </c>
      <c r="G37" s="322">
        <f t="shared" si="0"/>
        <v>3696</v>
      </c>
      <c r="H37" s="142"/>
      <c r="I37" s="154"/>
      <c r="K37" s="231"/>
    </row>
    <row r="38" spans="1:11" s="66" customFormat="1" ht="39" customHeight="1">
      <c r="A38" s="385">
        <f>'HỢP ĐỒNG'!A42</f>
        <v>24</v>
      </c>
      <c r="B38" s="356" t="s">
        <v>370</v>
      </c>
      <c r="C38" s="387">
        <f>'HỢP ĐỒNG'!I42</f>
        <v>42010000</v>
      </c>
      <c r="D38" s="38" t="str">
        <f>'HỢP ĐỒNG'!D42</f>
        <v>PCE</v>
      </c>
      <c r="E38" s="67">
        <f>'HỢP ĐỒNG'!E42</f>
        <v>270</v>
      </c>
      <c r="F38" s="329">
        <f>'HỢP ĐỒNG'!F42</f>
        <v>0.92</v>
      </c>
      <c r="G38" s="322">
        <f t="shared" si="0"/>
        <v>248.4</v>
      </c>
      <c r="H38" s="142"/>
      <c r="I38" s="154"/>
      <c r="K38" s="231"/>
    </row>
    <row r="39" spans="1:11" s="66" customFormat="1" ht="39" customHeight="1">
      <c r="A39" s="385">
        <f>'HỢP ĐỒNG'!A43</f>
        <v>25</v>
      </c>
      <c r="B39" s="356" t="s">
        <v>371</v>
      </c>
      <c r="C39" s="387">
        <f>'HỢP ĐỒNG'!I43</f>
        <v>42010000</v>
      </c>
      <c r="D39" s="38" t="str">
        <f>'HỢP ĐỒNG'!D43</f>
        <v>PCE</v>
      </c>
      <c r="E39" s="67">
        <f>'HỢP ĐỒNG'!E43</f>
        <v>400</v>
      </c>
      <c r="F39" s="329">
        <f>'HỢP ĐỒNG'!F43</f>
        <v>0.71</v>
      </c>
      <c r="G39" s="322">
        <f t="shared" si="0"/>
        <v>284</v>
      </c>
      <c r="H39" s="142"/>
      <c r="I39" s="154"/>
      <c r="K39" s="231"/>
    </row>
    <row r="40" spans="1:11" s="66" customFormat="1" ht="39" customHeight="1">
      <c r="A40" s="385">
        <f>'HỢP ĐỒNG'!A44</f>
        <v>26</v>
      </c>
      <c r="B40" s="356" t="s">
        <v>372</v>
      </c>
      <c r="C40" s="387">
        <f>'HỢP ĐỒNG'!I44</f>
        <v>73249099</v>
      </c>
      <c r="D40" s="38" t="str">
        <f>'HỢP ĐỒNG'!D44</f>
        <v>SET</v>
      </c>
      <c r="E40" s="67">
        <f>'HỢP ĐỒNG'!E44</f>
        <v>1200</v>
      </c>
      <c r="F40" s="329">
        <f>'HỢP ĐỒNG'!F44</f>
        <v>5.28</v>
      </c>
      <c r="G40" s="322">
        <f t="shared" si="0"/>
        <v>6336</v>
      </c>
      <c r="H40" s="142"/>
      <c r="I40" s="154"/>
      <c r="K40" s="231"/>
    </row>
    <row r="41" spans="1:11" s="66" customFormat="1" ht="39" customHeight="1">
      <c r="A41" s="385">
        <f>'HỢP ĐỒNG'!A45</f>
        <v>27</v>
      </c>
      <c r="B41" s="356" t="s">
        <v>373</v>
      </c>
      <c r="C41" s="387">
        <f>'HỢP ĐỒNG'!I45</f>
        <v>39264000</v>
      </c>
      <c r="D41" s="38" t="str">
        <f>'HỢP ĐỒNG'!D45</f>
        <v>PCE</v>
      </c>
      <c r="E41" s="67">
        <f>'HỢP ĐỒNG'!E45</f>
        <v>48</v>
      </c>
      <c r="F41" s="329">
        <f>'HỢP ĐỒNG'!F45</f>
        <v>10.18</v>
      </c>
      <c r="G41" s="322">
        <f t="shared" si="0"/>
        <v>488.64</v>
      </c>
      <c r="H41" s="142"/>
      <c r="I41" s="154"/>
      <c r="K41" s="231"/>
    </row>
    <row r="42" spans="1:11" s="66" customFormat="1" ht="39" customHeight="1">
      <c r="A42" s="385">
        <f>'HỢP ĐỒNG'!A46</f>
        <v>28</v>
      </c>
      <c r="B42" s="356" t="s">
        <v>373</v>
      </c>
      <c r="C42" s="387">
        <f>'HỢP ĐỒNG'!I46</f>
        <v>39241099</v>
      </c>
      <c r="D42" s="38" t="str">
        <f>'HỢP ĐỒNG'!D46</f>
        <v>PCE</v>
      </c>
      <c r="E42" s="67">
        <f>'HỢP ĐỒNG'!E46</f>
        <v>150</v>
      </c>
      <c r="F42" s="329">
        <f>'HỢP ĐỒNG'!F46</f>
        <v>4.17</v>
      </c>
      <c r="G42" s="322">
        <f t="shared" si="0"/>
        <v>625.5</v>
      </c>
      <c r="H42" s="142"/>
      <c r="I42" s="154"/>
      <c r="K42" s="231"/>
    </row>
    <row r="43" spans="1:11" s="66" customFormat="1" ht="39" customHeight="1">
      <c r="A43" s="385">
        <f>'HỢP ĐỒNG'!A47</f>
        <v>29</v>
      </c>
      <c r="B43" s="356" t="s">
        <v>373</v>
      </c>
      <c r="C43" s="387">
        <f>'HỢP ĐỒNG'!I47</f>
        <v>39241099</v>
      </c>
      <c r="D43" s="38" t="str">
        <f>'HỢP ĐỒNG'!D47</f>
        <v>PCE</v>
      </c>
      <c r="E43" s="67">
        <f>'HỢP ĐỒNG'!E47</f>
        <v>150</v>
      </c>
      <c r="F43" s="329">
        <f>'HỢP ĐỒNG'!F47</f>
        <v>4.17</v>
      </c>
      <c r="G43" s="322">
        <f t="shared" si="0"/>
        <v>625.5</v>
      </c>
      <c r="H43" s="142"/>
      <c r="I43" s="154"/>
      <c r="K43" s="231"/>
    </row>
    <row r="44" spans="1:11" s="66" customFormat="1" ht="39" customHeight="1">
      <c r="A44" s="385">
        <f>'HỢP ĐỒNG'!A48</f>
        <v>30</v>
      </c>
      <c r="B44" s="356" t="s">
        <v>374</v>
      </c>
      <c r="C44" s="387">
        <f>'HỢP ĐỒNG'!I48</f>
        <v>73239310</v>
      </c>
      <c r="D44" s="38" t="str">
        <f>'HỢP ĐỒNG'!D48</f>
        <v>PCE</v>
      </c>
      <c r="E44" s="67">
        <f>'HỢP ĐỒNG'!E48</f>
        <v>200</v>
      </c>
      <c r="F44" s="329">
        <f>'HỢP ĐỒNG'!F48</f>
        <v>13.19</v>
      </c>
      <c r="G44" s="322">
        <f t="shared" si="0"/>
        <v>2638</v>
      </c>
      <c r="H44" s="142"/>
      <c r="I44" s="154"/>
      <c r="K44" s="231"/>
    </row>
    <row r="45" spans="1:11" s="66" customFormat="1" ht="39" customHeight="1">
      <c r="A45" s="385">
        <f>'HỢP ĐỒNG'!A49</f>
        <v>31</v>
      </c>
      <c r="B45" s="356" t="s">
        <v>374</v>
      </c>
      <c r="C45" s="387">
        <f>'HỢP ĐỒNG'!I49</f>
        <v>73239310</v>
      </c>
      <c r="D45" s="38" t="str">
        <f>'HỢP ĐỒNG'!D49</f>
        <v>PCE</v>
      </c>
      <c r="E45" s="67">
        <f>'HỢP ĐỒNG'!E49</f>
        <v>26</v>
      </c>
      <c r="F45" s="329">
        <f>'HỢP ĐỒNG'!F49</f>
        <v>7.92</v>
      </c>
      <c r="G45" s="322">
        <f t="shared" si="0"/>
        <v>205.92</v>
      </c>
      <c r="H45" s="142"/>
      <c r="I45" s="154"/>
      <c r="K45" s="231"/>
    </row>
    <row r="46" spans="1:11" s="66" customFormat="1" ht="39" customHeight="1">
      <c r="A46" s="385">
        <f>'HỢP ĐỒNG'!A50</f>
        <v>32</v>
      </c>
      <c r="B46" s="356" t="s">
        <v>373</v>
      </c>
      <c r="C46" s="387">
        <f>'HỢP ĐỒNG'!I50</f>
        <v>39264000</v>
      </c>
      <c r="D46" s="38" t="str">
        <f>'HỢP ĐỒNG'!D50</f>
        <v>PCE</v>
      </c>
      <c r="E46" s="67">
        <f>'HỢP ĐỒNG'!E50</f>
        <v>120</v>
      </c>
      <c r="F46" s="329">
        <f>'HỢP ĐỒNG'!F50</f>
        <v>1.88</v>
      </c>
      <c r="G46" s="322">
        <f t="shared" si="0"/>
        <v>225.6</v>
      </c>
      <c r="H46" s="142"/>
      <c r="I46" s="154"/>
      <c r="K46" s="231"/>
    </row>
    <row r="47" spans="1:11" s="66" customFormat="1" ht="39" customHeight="1">
      <c r="A47" s="385">
        <f>'HỢP ĐỒNG'!A51</f>
        <v>33</v>
      </c>
      <c r="B47" s="356" t="s">
        <v>180</v>
      </c>
      <c r="C47" s="387">
        <f>'HỢP ĐỒNG'!I51</f>
        <v>70072990</v>
      </c>
      <c r="D47" s="38" t="str">
        <f>'HỢP ĐỒNG'!D51</f>
        <v>PCE</v>
      </c>
      <c r="E47" s="67">
        <f>'HỢP ĐỒNG'!E51</f>
        <v>6500</v>
      </c>
      <c r="F47" s="329">
        <f>'HỢP ĐỒNG'!F51</f>
        <v>0.183</v>
      </c>
      <c r="G47" s="322">
        <f t="shared" si="0"/>
        <v>1189.5</v>
      </c>
      <c r="H47" s="142"/>
      <c r="I47" s="154"/>
      <c r="K47" s="231"/>
    </row>
    <row r="48" spans="1:11" s="66" customFormat="1" ht="39" customHeight="1">
      <c r="A48" s="385">
        <f>'HỢP ĐỒNG'!A52</f>
        <v>34</v>
      </c>
      <c r="B48" s="356" t="s">
        <v>180</v>
      </c>
      <c r="C48" s="387">
        <f>'HỢP ĐỒNG'!I52</f>
        <v>70072990</v>
      </c>
      <c r="D48" s="38" t="str">
        <f>'HỢP ĐỒNG'!D52</f>
        <v>PCE</v>
      </c>
      <c r="E48" s="67">
        <f>'HỢP ĐỒNG'!E52</f>
        <v>13000</v>
      </c>
      <c r="F48" s="329">
        <f>'HỢP ĐỒNG'!F52</f>
        <v>0.20699999999999999</v>
      </c>
      <c r="G48" s="322">
        <f t="shared" si="0"/>
        <v>2691</v>
      </c>
      <c r="H48" s="142"/>
      <c r="I48" s="154"/>
      <c r="K48" s="231"/>
    </row>
    <row r="49" spans="1:11" s="66" customFormat="1" ht="39" customHeight="1">
      <c r="A49" s="385">
        <f>'HỢP ĐỒNG'!A53</f>
        <v>35</v>
      </c>
      <c r="B49" s="356" t="s">
        <v>180</v>
      </c>
      <c r="C49" s="387">
        <f>'HỢP ĐỒNG'!I53</f>
        <v>70072990</v>
      </c>
      <c r="D49" s="38" t="str">
        <f>'HỢP ĐỒNG'!D53</f>
        <v>PCE</v>
      </c>
      <c r="E49" s="67">
        <f>'HỢP ĐỒNG'!E53</f>
        <v>1620</v>
      </c>
      <c r="F49" s="329">
        <f>'HỢP ĐỒNG'!F53</f>
        <v>0.66</v>
      </c>
      <c r="G49" s="322">
        <f t="shared" si="0"/>
        <v>1069.2</v>
      </c>
      <c r="H49" s="142"/>
      <c r="I49" s="154"/>
      <c r="K49" s="231"/>
    </row>
    <row r="50" spans="1:11" s="66" customFormat="1" ht="39" customHeight="1">
      <c r="A50" s="385">
        <f>'HỢP ĐỒNG'!A54</f>
        <v>36</v>
      </c>
      <c r="B50" s="356" t="s">
        <v>180</v>
      </c>
      <c r="C50" s="387">
        <f>'HỢP ĐỒNG'!I54</f>
        <v>70072990</v>
      </c>
      <c r="D50" s="38" t="str">
        <f>'HỢP ĐỒNG'!D54</f>
        <v>PCE</v>
      </c>
      <c r="E50" s="67">
        <f>'HỢP ĐỒNG'!E54</f>
        <v>5000</v>
      </c>
      <c r="F50" s="329">
        <f>'HỢP ĐỒNG'!F54</f>
        <v>0.32</v>
      </c>
      <c r="G50" s="322">
        <f t="shared" si="0"/>
        <v>1600</v>
      </c>
      <c r="H50" s="142"/>
      <c r="I50" s="154"/>
      <c r="K50" s="231"/>
    </row>
    <row r="51" spans="1:11" s="66" customFormat="1" ht="39" customHeight="1">
      <c r="A51" s="385">
        <f>'HỢP ĐỒNG'!A55</f>
        <v>37</v>
      </c>
      <c r="B51" s="356" t="s">
        <v>180</v>
      </c>
      <c r="C51" s="387">
        <f>'HỢP ĐỒNG'!I55</f>
        <v>70072990</v>
      </c>
      <c r="D51" s="38" t="str">
        <f>'HỢP ĐỒNG'!D55</f>
        <v>PCE</v>
      </c>
      <c r="E51" s="67">
        <f>'HỢP ĐỒNG'!E55</f>
        <v>3000</v>
      </c>
      <c r="F51" s="329">
        <f>'HỢP ĐỒNG'!F55</f>
        <v>0.26</v>
      </c>
      <c r="G51" s="322">
        <f t="shared" si="0"/>
        <v>780</v>
      </c>
      <c r="H51" s="142"/>
      <c r="I51" s="154"/>
      <c r="K51" s="231"/>
    </row>
    <row r="52" spans="1:11" s="66" customFormat="1" ht="39" customHeight="1">
      <c r="A52" s="385">
        <f>'HỢP ĐỒNG'!A56</f>
        <v>38</v>
      </c>
      <c r="B52" s="356" t="s">
        <v>375</v>
      </c>
      <c r="C52" s="387">
        <f>'HỢP ĐỒNG'!I56</f>
        <v>79070099</v>
      </c>
      <c r="D52" s="38" t="str">
        <f>'HỢP ĐỒNG'!D56</f>
        <v>SET</v>
      </c>
      <c r="E52" s="67">
        <f>'HỢP ĐỒNG'!E56</f>
        <v>6000</v>
      </c>
      <c r="F52" s="329">
        <f>'HỢP ĐỒNG'!F56</f>
        <v>0.41</v>
      </c>
      <c r="G52" s="322">
        <f t="shared" si="0"/>
        <v>2460</v>
      </c>
      <c r="H52" s="142"/>
      <c r="I52" s="154"/>
      <c r="K52" s="231"/>
    </row>
    <row r="53" spans="1:11" s="66" customFormat="1" ht="39" customHeight="1">
      <c r="A53" s="385">
        <f>'HỢP ĐỒNG'!A57</f>
        <v>39</v>
      </c>
      <c r="B53" s="356" t="s">
        <v>376</v>
      </c>
      <c r="C53" s="387">
        <f>'HỢP ĐỒNG'!I57</f>
        <v>96039090</v>
      </c>
      <c r="D53" s="38" t="str">
        <f>'HỢP ĐỒNG'!D57</f>
        <v>PCE</v>
      </c>
      <c r="E53" s="67">
        <f>'HỢP ĐỒNG'!E57</f>
        <v>30000</v>
      </c>
      <c r="F53" s="329">
        <f>'HỢP ĐỒNG'!F57</f>
        <v>0.122</v>
      </c>
      <c r="G53" s="322">
        <f t="shared" si="0"/>
        <v>3660</v>
      </c>
      <c r="H53" s="142"/>
      <c r="I53" s="154"/>
      <c r="K53" s="231"/>
    </row>
    <row r="54" spans="1:11" s="66" customFormat="1" ht="39" customHeight="1">
      <c r="A54" s="385">
        <f>'HỢP ĐỒNG'!A58</f>
        <v>40</v>
      </c>
      <c r="B54" s="356" t="s">
        <v>377</v>
      </c>
      <c r="C54" s="387">
        <f>'HỢP ĐỒNG'!I58</f>
        <v>96081010</v>
      </c>
      <c r="D54" s="38" t="str">
        <f>'HỢP ĐỒNG'!D58</f>
        <v>UNK</v>
      </c>
      <c r="E54" s="67">
        <f>'HỢP ĐỒNG'!E58</f>
        <v>2500</v>
      </c>
      <c r="F54" s="329">
        <f>'HỢP ĐỒNG'!F58</f>
        <v>0.56999999999999995</v>
      </c>
      <c r="G54" s="322">
        <f t="shared" si="0"/>
        <v>1424.9999999999998</v>
      </c>
      <c r="H54" s="142"/>
      <c r="I54" s="154"/>
      <c r="K54" s="231"/>
    </row>
    <row r="55" spans="1:11" s="66" customFormat="1" ht="39" customHeight="1">
      <c r="A55" s="385">
        <f>'HỢP ĐỒNG'!A59</f>
        <v>41</v>
      </c>
      <c r="B55" s="356" t="s">
        <v>181</v>
      </c>
      <c r="C55" s="387">
        <f>'HỢP ĐỒNG'!I59</f>
        <v>42023200</v>
      </c>
      <c r="D55" s="38" t="str">
        <f>'HỢP ĐỒNG'!D59</f>
        <v>PCE</v>
      </c>
      <c r="E55" s="67">
        <f>'HỢP ĐỒNG'!E59</f>
        <v>14500</v>
      </c>
      <c r="F55" s="329">
        <f>'HỢP ĐỒNG'!F59</f>
        <v>0.28999999999999998</v>
      </c>
      <c r="G55" s="322">
        <f t="shared" si="0"/>
        <v>4205</v>
      </c>
      <c r="H55" s="142"/>
      <c r="I55" s="154"/>
      <c r="K55" s="231"/>
    </row>
    <row r="56" spans="1:11" s="66" customFormat="1" ht="39" customHeight="1">
      <c r="A56" s="385">
        <f>'HỢP ĐỒNG'!A60</f>
        <v>42</v>
      </c>
      <c r="B56" s="356" t="s">
        <v>181</v>
      </c>
      <c r="C56" s="387">
        <f>'HỢP ĐỒNG'!I60</f>
        <v>42023200</v>
      </c>
      <c r="D56" s="38" t="str">
        <f>'HỢP ĐỒNG'!D60</f>
        <v>PCE</v>
      </c>
      <c r="E56" s="67">
        <f>'HỢP ĐỒNG'!E60</f>
        <v>1000</v>
      </c>
      <c r="F56" s="329">
        <f>'HỢP ĐỒNG'!F60</f>
        <v>0.45</v>
      </c>
      <c r="G56" s="322">
        <f t="shared" si="0"/>
        <v>450</v>
      </c>
      <c r="H56" s="142"/>
      <c r="I56" s="154"/>
      <c r="K56" s="231"/>
    </row>
    <row r="57" spans="1:11" s="66" customFormat="1" ht="39" customHeight="1">
      <c r="A57" s="385">
        <f>'HỢP ĐỒNG'!A61</f>
        <v>43</v>
      </c>
      <c r="B57" s="356" t="s">
        <v>378</v>
      </c>
      <c r="C57" s="387">
        <f>'HỢP ĐỒNG'!I61</f>
        <v>84186990</v>
      </c>
      <c r="D57" s="38" t="str">
        <f>'HỢP ĐỒNG'!D61</f>
        <v>PCE</v>
      </c>
      <c r="E57" s="67">
        <f>'HỢP ĐỒNG'!E61</f>
        <v>3</v>
      </c>
      <c r="F57" s="329">
        <f>'HỢP ĐỒNG'!F61</f>
        <v>3940.06</v>
      </c>
      <c r="G57" s="322">
        <f t="shared" si="0"/>
        <v>11820.18</v>
      </c>
      <c r="H57" s="142"/>
      <c r="I57" s="154"/>
      <c r="K57" s="231"/>
    </row>
    <row r="58" spans="1:11" s="66" customFormat="1" ht="39" customHeight="1">
      <c r="A58" s="385">
        <f>'HỢP ĐỒNG'!A62</f>
        <v>44</v>
      </c>
      <c r="B58" s="356" t="s">
        <v>379</v>
      </c>
      <c r="C58" s="387">
        <f>'HỢP ĐỒNG'!I62</f>
        <v>90191010</v>
      </c>
      <c r="D58" s="38" t="str">
        <f>'HỢP ĐỒNG'!D62</f>
        <v>PCE</v>
      </c>
      <c r="E58" s="67">
        <f>'HỢP ĐỒNG'!E62</f>
        <v>400</v>
      </c>
      <c r="F58" s="329">
        <f>'HỢP ĐỒNG'!F62</f>
        <v>19.98</v>
      </c>
      <c r="G58" s="322">
        <f t="shared" si="0"/>
        <v>7992</v>
      </c>
      <c r="H58" s="142"/>
      <c r="I58" s="154"/>
      <c r="K58" s="231"/>
    </row>
    <row r="59" spans="1:11" s="66" customFormat="1" ht="39" customHeight="1">
      <c r="A59" s="385">
        <f>'HỢP ĐỒNG'!A63</f>
        <v>45</v>
      </c>
      <c r="B59" s="356" t="s">
        <v>380</v>
      </c>
      <c r="C59" s="387">
        <f>'HỢP ĐỒNG'!I63</f>
        <v>73241010</v>
      </c>
      <c r="D59" s="38" t="str">
        <f>'HỢP ĐỒNG'!D63</f>
        <v>PCE</v>
      </c>
      <c r="E59" s="67">
        <f>'HỢP ĐỒNG'!E63</f>
        <v>400</v>
      </c>
      <c r="F59" s="329">
        <f>'HỢP ĐỒNG'!F63</f>
        <v>10.41</v>
      </c>
      <c r="G59" s="322">
        <f t="shared" si="0"/>
        <v>4164</v>
      </c>
      <c r="H59" s="142"/>
      <c r="I59" s="154"/>
      <c r="K59" s="231"/>
    </row>
    <row r="60" spans="1:11" s="66" customFormat="1" ht="39" customHeight="1">
      <c r="A60" s="385">
        <f>'HỢP ĐỒNG'!A64</f>
        <v>46</v>
      </c>
      <c r="B60" s="356" t="s">
        <v>380</v>
      </c>
      <c r="C60" s="387">
        <f>'HỢP ĐỒNG'!I64</f>
        <v>73241010</v>
      </c>
      <c r="D60" s="38" t="str">
        <f>'HỢP ĐỒNG'!D64</f>
        <v>PCE</v>
      </c>
      <c r="E60" s="67">
        <f>'HỢP ĐỒNG'!E64</f>
        <v>200</v>
      </c>
      <c r="F60" s="329">
        <f>'HỢP ĐỒNG'!F64</f>
        <v>10.77</v>
      </c>
      <c r="G60" s="322">
        <f t="shared" si="0"/>
        <v>2154</v>
      </c>
      <c r="H60" s="142"/>
      <c r="I60" s="154"/>
      <c r="K60" s="231"/>
    </row>
    <row r="61" spans="1:11" s="66" customFormat="1" ht="39" customHeight="1">
      <c r="A61" s="385">
        <f>'HỢP ĐỒNG'!A65</f>
        <v>47</v>
      </c>
      <c r="B61" s="356" t="s">
        <v>380</v>
      </c>
      <c r="C61" s="387">
        <f>'HỢP ĐỒNG'!I65</f>
        <v>73241010</v>
      </c>
      <c r="D61" s="38" t="str">
        <f>'HỢP ĐỒNG'!D65</f>
        <v>PCE</v>
      </c>
      <c r="E61" s="67">
        <f>'HỢP ĐỒNG'!E65</f>
        <v>400</v>
      </c>
      <c r="F61" s="329">
        <f>'HỢP ĐỒNG'!F65</f>
        <v>11.09</v>
      </c>
      <c r="G61" s="322">
        <f t="shared" si="0"/>
        <v>4436</v>
      </c>
      <c r="H61" s="142"/>
      <c r="I61" s="154"/>
      <c r="K61" s="231"/>
    </row>
    <row r="62" spans="1:11" s="66" customFormat="1" ht="39" customHeight="1">
      <c r="A62" s="385">
        <f>'HỢP ĐỒNG'!A66</f>
        <v>48</v>
      </c>
      <c r="B62" s="356" t="s">
        <v>380</v>
      </c>
      <c r="C62" s="387">
        <f>'HỢP ĐỒNG'!I66</f>
        <v>73241010</v>
      </c>
      <c r="D62" s="38" t="str">
        <f>'HỢP ĐỒNG'!D66</f>
        <v>PCE</v>
      </c>
      <c r="E62" s="67">
        <f>'HỢP ĐỒNG'!E66</f>
        <v>200</v>
      </c>
      <c r="F62" s="329">
        <f>'HỢP ĐỒNG'!F66</f>
        <v>14.36</v>
      </c>
      <c r="G62" s="322">
        <f t="shared" si="0"/>
        <v>2872</v>
      </c>
      <c r="H62" s="142"/>
      <c r="I62" s="154"/>
      <c r="K62" s="231"/>
    </row>
    <row r="63" spans="1:11" s="66" customFormat="1" ht="39" customHeight="1">
      <c r="A63" s="385">
        <f>'HỢP ĐỒNG'!A67</f>
        <v>49</v>
      </c>
      <c r="B63" s="356" t="s">
        <v>380</v>
      </c>
      <c r="C63" s="387">
        <f>'HỢP ĐỒNG'!I67</f>
        <v>73241010</v>
      </c>
      <c r="D63" s="38" t="str">
        <f>'HỢP ĐỒNG'!D67</f>
        <v>PCE</v>
      </c>
      <c r="E63" s="67">
        <f>'HỢP ĐỒNG'!E67</f>
        <v>60</v>
      </c>
      <c r="F63" s="329">
        <f>'HỢP ĐỒNG'!F67</f>
        <v>34.07</v>
      </c>
      <c r="G63" s="322">
        <f t="shared" si="0"/>
        <v>2044.2</v>
      </c>
      <c r="H63" s="142"/>
      <c r="I63" s="154"/>
      <c r="K63" s="231"/>
    </row>
    <row r="64" spans="1:11" s="66" customFormat="1" ht="39" customHeight="1">
      <c r="A64" s="385">
        <f>'HỢP ĐỒNG'!A68</f>
        <v>50</v>
      </c>
      <c r="B64" s="356" t="s">
        <v>380</v>
      </c>
      <c r="C64" s="387">
        <f>'HỢP ĐỒNG'!I68</f>
        <v>73241010</v>
      </c>
      <c r="D64" s="38" t="str">
        <f>'HỢP ĐỒNG'!D68</f>
        <v>PCE</v>
      </c>
      <c r="E64" s="67">
        <f>'HỢP ĐỒNG'!E68</f>
        <v>100</v>
      </c>
      <c r="F64" s="329">
        <f>'HỢP ĐỒNG'!F68</f>
        <v>16.850000000000001</v>
      </c>
      <c r="G64" s="322">
        <f t="shared" si="0"/>
        <v>1685.0000000000002</v>
      </c>
      <c r="H64" s="142"/>
      <c r="I64" s="154"/>
      <c r="K64" s="231"/>
    </row>
    <row r="65" spans="1:11" s="66" customFormat="1" ht="39" customHeight="1">
      <c r="A65" s="385">
        <f>'HỢP ĐỒNG'!A69</f>
        <v>51</v>
      </c>
      <c r="B65" s="356" t="s">
        <v>380</v>
      </c>
      <c r="C65" s="387">
        <f>'HỢP ĐỒNG'!I69</f>
        <v>73241010</v>
      </c>
      <c r="D65" s="38" t="str">
        <f>'HỢP ĐỒNG'!D69</f>
        <v>PCE</v>
      </c>
      <c r="E65" s="67">
        <f>'HỢP ĐỒNG'!E69</f>
        <v>100</v>
      </c>
      <c r="F65" s="329">
        <f>'HỢP ĐỒNG'!F69</f>
        <v>20.46</v>
      </c>
      <c r="G65" s="322">
        <f t="shared" si="0"/>
        <v>2046</v>
      </c>
      <c r="H65" s="142"/>
      <c r="I65" s="154"/>
      <c r="K65" s="231"/>
    </row>
    <row r="66" spans="1:11" s="66" customFormat="1" ht="39" customHeight="1">
      <c r="A66" s="385">
        <f>'HỢP ĐỒNG'!A70</f>
        <v>52</v>
      </c>
      <c r="B66" s="356" t="s">
        <v>381</v>
      </c>
      <c r="C66" s="387">
        <f>'HỢP ĐỒNG'!I70</f>
        <v>85437029</v>
      </c>
      <c r="D66" s="38" t="str">
        <f>'HỢP ĐỒNG'!D70</f>
        <v>PCE</v>
      </c>
      <c r="E66" s="67">
        <f>'HỢP ĐỒNG'!E70</f>
        <v>5000</v>
      </c>
      <c r="F66" s="329">
        <f>'HỢP ĐỒNG'!F70</f>
        <v>0.94</v>
      </c>
      <c r="G66" s="322">
        <f t="shared" si="0"/>
        <v>4700</v>
      </c>
      <c r="H66" s="142"/>
      <c r="I66" s="154"/>
      <c r="K66" s="231"/>
    </row>
    <row r="67" spans="1:11" s="66" customFormat="1" ht="39" customHeight="1">
      <c r="A67" s="385">
        <f>'HỢP ĐỒNG'!A71</f>
        <v>53</v>
      </c>
      <c r="B67" s="356" t="s">
        <v>381</v>
      </c>
      <c r="C67" s="387">
        <f>'HỢP ĐỒNG'!I71</f>
        <v>85437029</v>
      </c>
      <c r="D67" s="38" t="str">
        <f>'HỢP ĐỒNG'!D71</f>
        <v>SET</v>
      </c>
      <c r="E67" s="67">
        <f>'HỢP ĐỒNG'!E71</f>
        <v>200</v>
      </c>
      <c r="F67" s="329">
        <f>'HỢP ĐỒNG'!F71</f>
        <v>5.65</v>
      </c>
      <c r="G67" s="322">
        <f t="shared" si="0"/>
        <v>1130</v>
      </c>
      <c r="H67" s="142"/>
      <c r="I67" s="154"/>
      <c r="K67" s="231"/>
    </row>
    <row r="68" spans="1:11" s="66" customFormat="1" ht="39" customHeight="1">
      <c r="A68" s="385">
        <f>'HỢP ĐỒNG'!A72</f>
        <v>54</v>
      </c>
      <c r="B68" s="356" t="s">
        <v>381</v>
      </c>
      <c r="C68" s="387">
        <f>'HỢP ĐỒNG'!I72</f>
        <v>85437029</v>
      </c>
      <c r="D68" s="38" t="str">
        <f>'HỢP ĐỒNG'!D72</f>
        <v>SET</v>
      </c>
      <c r="E68" s="67">
        <f>'HỢP ĐỒNG'!E72</f>
        <v>500</v>
      </c>
      <c r="F68" s="329">
        <f>'HỢP ĐỒNG'!F72</f>
        <v>7.54</v>
      </c>
      <c r="G68" s="322">
        <f t="shared" si="0"/>
        <v>3770</v>
      </c>
      <c r="H68" s="142"/>
      <c r="I68" s="154"/>
      <c r="K68" s="231"/>
    </row>
    <row r="69" spans="1:11" s="66" customFormat="1" ht="39" customHeight="1">
      <c r="A69" s="385">
        <f>'HỢP ĐỒNG'!A73</f>
        <v>55</v>
      </c>
      <c r="B69" s="356" t="s">
        <v>382</v>
      </c>
      <c r="C69" s="387">
        <f>'HỢP ĐỒNG'!I73</f>
        <v>85365096</v>
      </c>
      <c r="D69" s="38" t="str">
        <f>'HỢP ĐỒNG'!D73</f>
        <v>PCE</v>
      </c>
      <c r="E69" s="67">
        <f>'HỢP ĐỒNG'!E73</f>
        <v>1000</v>
      </c>
      <c r="F69" s="329">
        <f>'HỢP ĐỒNG'!F73</f>
        <v>0.68</v>
      </c>
      <c r="G69" s="322">
        <f t="shared" si="0"/>
        <v>680</v>
      </c>
      <c r="H69" s="142"/>
      <c r="I69" s="154"/>
      <c r="K69" s="231"/>
    </row>
    <row r="70" spans="1:11" s="66" customFormat="1" ht="39" customHeight="1">
      <c r="A70" s="385">
        <f>'HỢP ĐỒNG'!A74</f>
        <v>56</v>
      </c>
      <c r="B70" s="356" t="s">
        <v>382</v>
      </c>
      <c r="C70" s="387">
        <f>'HỢP ĐỒNG'!I74</f>
        <v>85365096</v>
      </c>
      <c r="D70" s="38" t="str">
        <f>'HỢP ĐỒNG'!D74</f>
        <v>PCE</v>
      </c>
      <c r="E70" s="67">
        <f>'HỢP ĐỒNG'!E74</f>
        <v>4000</v>
      </c>
      <c r="F70" s="329">
        <f>'HỢP ĐỒNG'!F74</f>
        <v>0.75</v>
      </c>
      <c r="G70" s="322">
        <f t="shared" si="0"/>
        <v>3000</v>
      </c>
      <c r="H70" s="142"/>
      <c r="I70" s="154"/>
      <c r="K70" s="231"/>
    </row>
    <row r="71" spans="1:11" s="66" customFormat="1" ht="39" customHeight="1">
      <c r="A71" s="385">
        <f>'HỢP ĐỒNG'!A75</f>
        <v>57</v>
      </c>
      <c r="B71" s="356" t="s">
        <v>383</v>
      </c>
      <c r="C71" s="387">
        <f>'HỢP ĐỒNG'!I75</f>
        <v>85044090</v>
      </c>
      <c r="D71" s="38" t="str">
        <f>'HỢP ĐỒNG'!D75</f>
        <v>SET</v>
      </c>
      <c r="E71" s="67">
        <f>'HỢP ĐỒNG'!E75</f>
        <v>2000</v>
      </c>
      <c r="F71" s="329">
        <f>'HỢP ĐỒNG'!F75</f>
        <v>1.7</v>
      </c>
      <c r="G71" s="322">
        <f t="shared" si="0"/>
        <v>3400</v>
      </c>
      <c r="H71" s="142"/>
      <c r="I71" s="154"/>
      <c r="K71" s="231"/>
    </row>
    <row r="72" spans="1:11" s="66" customFormat="1" ht="39" customHeight="1">
      <c r="A72" s="385">
        <f>'HỢP ĐỒNG'!A76</f>
        <v>58</v>
      </c>
      <c r="B72" s="356" t="s">
        <v>384</v>
      </c>
      <c r="C72" s="387">
        <f>'HỢP ĐỒNG'!I76</f>
        <v>39262090</v>
      </c>
      <c r="D72" s="38" t="str">
        <f>'HỢP ĐỒNG'!D76</f>
        <v>PCE</v>
      </c>
      <c r="E72" s="67">
        <f>'HỢP ĐỒNG'!E76</f>
        <v>800</v>
      </c>
      <c r="F72" s="329">
        <f>'HỢP ĐỒNG'!F76</f>
        <v>0.17</v>
      </c>
      <c r="G72" s="322">
        <f t="shared" si="0"/>
        <v>136</v>
      </c>
      <c r="H72" s="142"/>
      <c r="I72" s="154"/>
      <c r="K72" s="231"/>
    </row>
    <row r="73" spans="1:11" s="66" customFormat="1" ht="39" customHeight="1">
      <c r="A73" s="385">
        <f>'HỢP ĐỒNG'!A77</f>
        <v>59</v>
      </c>
      <c r="B73" s="356" t="s">
        <v>384</v>
      </c>
      <c r="C73" s="387">
        <f>'HỢP ĐỒNG'!I77</f>
        <v>39262090</v>
      </c>
      <c r="D73" s="38" t="str">
        <f>'HỢP ĐỒNG'!D77</f>
        <v>PCE</v>
      </c>
      <c r="E73" s="67">
        <f>'HỢP ĐỒNG'!E77</f>
        <v>200</v>
      </c>
      <c r="F73" s="329">
        <f>'HỢP ĐỒNG'!F77</f>
        <v>0.188</v>
      </c>
      <c r="G73" s="322">
        <f t="shared" si="0"/>
        <v>37.6</v>
      </c>
      <c r="H73" s="142"/>
      <c r="I73" s="154"/>
      <c r="K73" s="231"/>
    </row>
    <row r="74" spans="1:11" s="66" customFormat="1" ht="39" customHeight="1">
      <c r="A74" s="385">
        <f>'HỢP ĐỒNG'!A78</f>
        <v>60</v>
      </c>
      <c r="B74" s="356" t="s">
        <v>384</v>
      </c>
      <c r="C74" s="387">
        <f>'HỢP ĐỒNG'!I78</f>
        <v>39262090</v>
      </c>
      <c r="D74" s="38" t="str">
        <f>'HỢP ĐỒNG'!D78</f>
        <v>PCE</v>
      </c>
      <c r="E74" s="67">
        <f>'HỢP ĐỒNG'!E78</f>
        <v>100</v>
      </c>
      <c r="F74" s="329">
        <f>'HỢP ĐỒNG'!F78</f>
        <v>0.188</v>
      </c>
      <c r="G74" s="322">
        <f t="shared" si="0"/>
        <v>18.8</v>
      </c>
      <c r="H74" s="142"/>
      <c r="I74" s="154"/>
      <c r="K74" s="231"/>
    </row>
    <row r="75" spans="1:11" s="66" customFormat="1" ht="39" customHeight="1">
      <c r="A75" s="385">
        <f>'HỢP ĐỒNG'!A79</f>
        <v>61</v>
      </c>
      <c r="B75" s="356" t="s">
        <v>385</v>
      </c>
      <c r="C75" s="387">
        <f>'HỢP ĐỒNG'!I79</f>
        <v>39222000</v>
      </c>
      <c r="D75" s="38" t="str">
        <f>'HỢP ĐỒNG'!D79</f>
        <v>PCE</v>
      </c>
      <c r="E75" s="67">
        <f>'HỢP ĐỒNG'!E79</f>
        <v>100</v>
      </c>
      <c r="F75" s="329">
        <f>'HỢP ĐỒNG'!F79</f>
        <v>27.14</v>
      </c>
      <c r="G75" s="322">
        <f t="shared" si="0"/>
        <v>2714</v>
      </c>
      <c r="H75" s="142"/>
      <c r="I75" s="154"/>
      <c r="K75" s="231"/>
    </row>
    <row r="76" spans="1:11" s="66" customFormat="1" ht="39" customHeight="1">
      <c r="A76" s="385">
        <f>'HỢP ĐỒNG'!A80</f>
        <v>62</v>
      </c>
      <c r="B76" s="356" t="s">
        <v>386</v>
      </c>
      <c r="C76" s="387">
        <f>'HỢP ĐỒNG'!I80</f>
        <v>96039040</v>
      </c>
      <c r="D76" s="38" t="str">
        <f>'HỢP ĐỒNG'!D80</f>
        <v>PCE</v>
      </c>
      <c r="E76" s="67">
        <f>'HỢP ĐỒNG'!E80</f>
        <v>900</v>
      </c>
      <c r="F76" s="329">
        <f>'HỢP ĐỒNG'!F80</f>
        <v>0.17</v>
      </c>
      <c r="G76" s="322">
        <f t="shared" si="0"/>
        <v>153</v>
      </c>
      <c r="H76" s="142"/>
      <c r="I76" s="154"/>
      <c r="K76" s="231"/>
    </row>
    <row r="77" spans="1:11" s="66" customFormat="1" ht="39" customHeight="1">
      <c r="A77" s="385">
        <f>'HỢP ĐỒNG'!A81</f>
        <v>63</v>
      </c>
      <c r="B77" s="356" t="s">
        <v>387</v>
      </c>
      <c r="C77" s="387">
        <f>'HỢP ĐỒNG'!I81</f>
        <v>83014020</v>
      </c>
      <c r="D77" s="38" t="str">
        <f>'HỢP ĐỒNG'!D81</f>
        <v>SET</v>
      </c>
      <c r="E77" s="67">
        <f>'HỢP ĐỒNG'!E81</f>
        <v>1000</v>
      </c>
      <c r="F77" s="329">
        <f>'HỢP ĐỒNG'!F81</f>
        <v>1.88</v>
      </c>
      <c r="G77" s="322">
        <f t="shared" si="0"/>
        <v>1880</v>
      </c>
      <c r="H77" s="142"/>
      <c r="I77" s="154"/>
      <c r="K77" s="231"/>
    </row>
    <row r="78" spans="1:11" s="66" customFormat="1" ht="39" customHeight="1">
      <c r="A78" s="385">
        <f>'HỢP ĐỒNG'!A82</f>
        <v>64</v>
      </c>
      <c r="B78" s="356" t="s">
        <v>387</v>
      </c>
      <c r="C78" s="387">
        <f>'HỢP ĐỒNG'!I82</f>
        <v>83014020</v>
      </c>
      <c r="D78" s="38" t="str">
        <f>'HỢP ĐỒNG'!D82</f>
        <v>SET</v>
      </c>
      <c r="E78" s="67">
        <f>'HỢP ĐỒNG'!E82</f>
        <v>1000</v>
      </c>
      <c r="F78" s="329">
        <f>'HỢP ĐỒNG'!F82</f>
        <v>3.39</v>
      </c>
      <c r="G78" s="322">
        <f t="shared" si="0"/>
        <v>3390</v>
      </c>
      <c r="H78" s="142"/>
      <c r="I78" s="154"/>
      <c r="K78" s="231"/>
    </row>
    <row r="79" spans="1:11" s="66" customFormat="1" ht="39" customHeight="1">
      <c r="A79" s="385">
        <f>'HỢP ĐỒNG'!A83</f>
        <v>65</v>
      </c>
      <c r="B79" s="356" t="s">
        <v>388</v>
      </c>
      <c r="C79" s="387">
        <f>'HỢP ĐỒNG'!I83</f>
        <v>39191010</v>
      </c>
      <c r="D79" s="38" t="str">
        <f>'HỢP ĐỒNG'!D83</f>
        <v>ROL</v>
      </c>
      <c r="E79" s="67">
        <f>'HỢP ĐỒNG'!E83</f>
        <v>560</v>
      </c>
      <c r="F79" s="329">
        <f>'HỢP ĐỒNG'!F83</f>
        <v>0.188</v>
      </c>
      <c r="G79" s="322">
        <f t="shared" si="0"/>
        <v>105.28</v>
      </c>
      <c r="H79" s="142"/>
      <c r="I79" s="154"/>
      <c r="K79" s="231"/>
    </row>
    <row r="80" spans="1:11" s="66" customFormat="1" ht="39" customHeight="1">
      <c r="A80" s="385">
        <f>'HỢP ĐỒNG'!A84</f>
        <v>66</v>
      </c>
      <c r="B80" s="356" t="s">
        <v>388</v>
      </c>
      <c r="C80" s="387">
        <f>'HỢP ĐỒNG'!I84</f>
        <v>39191010</v>
      </c>
      <c r="D80" s="38" t="str">
        <f>'HỢP ĐỒNG'!D84</f>
        <v>ROL</v>
      </c>
      <c r="E80" s="67">
        <f>'HỢP ĐỒNG'!E84</f>
        <v>1500</v>
      </c>
      <c r="F80" s="329">
        <f>'HỢP ĐỒNG'!F84</f>
        <v>0.38</v>
      </c>
      <c r="G80" s="322">
        <f t="shared" ref="G80:G132" si="1">F80*E80</f>
        <v>570</v>
      </c>
      <c r="H80" s="142"/>
      <c r="I80" s="154"/>
      <c r="K80" s="231"/>
    </row>
    <row r="81" spans="1:11" s="66" customFormat="1" ht="39" customHeight="1">
      <c r="A81" s="385">
        <f>'HỢP ĐỒNG'!A85</f>
        <v>67</v>
      </c>
      <c r="B81" s="356" t="s">
        <v>388</v>
      </c>
      <c r="C81" s="387">
        <f>'HỢP ĐỒNG'!I85</f>
        <v>39191010</v>
      </c>
      <c r="D81" s="38" t="str">
        <f>'HỢP ĐỒNG'!D85</f>
        <v>ROL</v>
      </c>
      <c r="E81" s="67">
        <f>'HỢP ĐỒNG'!E85</f>
        <v>480</v>
      </c>
      <c r="F81" s="329">
        <f>'HỢP ĐỒNG'!F85</f>
        <v>0.22600000000000001</v>
      </c>
      <c r="G81" s="322">
        <f t="shared" si="1"/>
        <v>108.48</v>
      </c>
      <c r="H81" s="142"/>
      <c r="I81" s="154"/>
      <c r="K81" s="231"/>
    </row>
    <row r="82" spans="1:11" s="66" customFormat="1" ht="39" customHeight="1">
      <c r="A82" s="385">
        <f>'HỢP ĐỒNG'!A86</f>
        <v>68</v>
      </c>
      <c r="B82" s="356" t="s">
        <v>389</v>
      </c>
      <c r="C82" s="387">
        <f>'HỢP ĐỒNG'!I86</f>
        <v>39269099</v>
      </c>
      <c r="D82" s="38" t="str">
        <f>'HỢP ĐỒNG'!D86</f>
        <v>PCE</v>
      </c>
      <c r="E82" s="67">
        <f>'HỢP ĐỒNG'!E86</f>
        <v>800</v>
      </c>
      <c r="F82" s="329">
        <f>'HỢP ĐỒNG'!F86</f>
        <v>0.3</v>
      </c>
      <c r="G82" s="322">
        <f t="shared" si="1"/>
        <v>240</v>
      </c>
      <c r="H82" s="142"/>
      <c r="I82" s="154"/>
      <c r="K82" s="231"/>
    </row>
    <row r="83" spans="1:11" s="66" customFormat="1" ht="39" customHeight="1">
      <c r="A83" s="385">
        <f>'HỢP ĐỒNG'!A87</f>
        <v>69</v>
      </c>
      <c r="B83" s="356" t="s">
        <v>390</v>
      </c>
      <c r="C83" s="387">
        <f>'HỢP ĐỒNG'!I87</f>
        <v>84212950</v>
      </c>
      <c r="D83" s="38" t="str">
        <f>'HỢP ĐỒNG'!D87</f>
        <v>PCE</v>
      </c>
      <c r="E83" s="67">
        <f>'HỢP ĐỒNG'!E87</f>
        <v>18</v>
      </c>
      <c r="F83" s="329">
        <f>'HỢP ĐỒNG'!F87</f>
        <v>148.9</v>
      </c>
      <c r="G83" s="322">
        <f t="shared" si="1"/>
        <v>2680.2000000000003</v>
      </c>
      <c r="H83" s="142"/>
      <c r="I83" s="154"/>
      <c r="K83" s="231"/>
    </row>
    <row r="84" spans="1:11" s="66" customFormat="1" ht="39" customHeight="1">
      <c r="A84" s="385">
        <f>'HỢP ĐỒNG'!A88</f>
        <v>70</v>
      </c>
      <c r="B84" s="356" t="s">
        <v>390</v>
      </c>
      <c r="C84" s="387">
        <f>'HỢP ĐỒNG'!I88</f>
        <v>84212950</v>
      </c>
      <c r="D84" s="38" t="str">
        <f>'HỢP ĐỒNG'!D88</f>
        <v>PCE</v>
      </c>
      <c r="E84" s="67">
        <f>'HỢP ĐỒNG'!E88</f>
        <v>10</v>
      </c>
      <c r="F84" s="329">
        <f>'HỢP ĐỒNG'!F88</f>
        <v>122.52</v>
      </c>
      <c r="G84" s="322">
        <f t="shared" si="1"/>
        <v>1225.2</v>
      </c>
      <c r="H84" s="142"/>
      <c r="I84" s="154"/>
      <c r="K84" s="231"/>
    </row>
    <row r="85" spans="1:11" s="66" customFormat="1" ht="39" customHeight="1">
      <c r="A85" s="385">
        <f>'HỢP ĐỒNG'!A89</f>
        <v>71</v>
      </c>
      <c r="B85" s="356" t="s">
        <v>381</v>
      </c>
      <c r="C85" s="387">
        <f>'HỢP ĐỒNG'!I89</f>
        <v>85437029</v>
      </c>
      <c r="D85" s="38" t="str">
        <f>'HỢP ĐỒNG'!D89</f>
        <v>SET</v>
      </c>
      <c r="E85" s="67">
        <f>'HỢP ĐỒNG'!E89</f>
        <v>500</v>
      </c>
      <c r="F85" s="329">
        <f>'HỢP ĐỒNG'!F89</f>
        <v>18.850000000000001</v>
      </c>
      <c r="G85" s="322">
        <f t="shared" si="1"/>
        <v>9425</v>
      </c>
      <c r="H85" s="142"/>
      <c r="I85" s="154"/>
      <c r="K85" s="231"/>
    </row>
    <row r="86" spans="1:11" s="66" customFormat="1" ht="39" customHeight="1">
      <c r="A86" s="385">
        <f>'HỢP ĐỒNG'!A90</f>
        <v>72</v>
      </c>
      <c r="B86" s="356" t="s">
        <v>381</v>
      </c>
      <c r="C86" s="387">
        <f>'HỢP ĐỒNG'!I90</f>
        <v>85437029</v>
      </c>
      <c r="D86" s="38" t="str">
        <f>'HỢP ĐỒNG'!D90</f>
        <v>SET</v>
      </c>
      <c r="E86" s="67">
        <f>'HỢP ĐỒNG'!E90</f>
        <v>700</v>
      </c>
      <c r="F86" s="329">
        <f>'HỢP ĐỒNG'!F90</f>
        <v>11.31</v>
      </c>
      <c r="G86" s="322">
        <f t="shared" si="1"/>
        <v>7917</v>
      </c>
      <c r="H86" s="142"/>
      <c r="I86" s="154"/>
      <c r="K86" s="231"/>
    </row>
    <row r="87" spans="1:11" s="66" customFormat="1" ht="39" customHeight="1">
      <c r="A87" s="385">
        <f>'HỢP ĐỒNG'!A91</f>
        <v>73</v>
      </c>
      <c r="B87" s="356" t="s">
        <v>386</v>
      </c>
      <c r="C87" s="387">
        <f>'HỢP ĐỒNG'!I91</f>
        <v>96039040</v>
      </c>
      <c r="D87" s="38" t="str">
        <f>'HỢP ĐỒNG'!D91</f>
        <v>PCE</v>
      </c>
      <c r="E87" s="67">
        <f>'HỢP ĐỒNG'!E91</f>
        <v>980</v>
      </c>
      <c r="F87" s="329">
        <f>'HỢP ĐỒNG'!F91</f>
        <v>0.3</v>
      </c>
      <c r="G87" s="322">
        <f t="shared" si="1"/>
        <v>294</v>
      </c>
      <c r="H87" s="142"/>
      <c r="I87" s="154"/>
      <c r="K87" s="231"/>
    </row>
    <row r="88" spans="1:11" s="66" customFormat="1" ht="39" customHeight="1">
      <c r="A88" s="385">
        <f>'HỢP ĐỒNG'!A92</f>
        <v>74</v>
      </c>
      <c r="B88" s="356" t="s">
        <v>391</v>
      </c>
      <c r="C88" s="387">
        <f>'HỢP ĐỒNG'!I92</f>
        <v>85012012</v>
      </c>
      <c r="D88" s="38" t="str">
        <f>'HỢP ĐỒNG'!D92</f>
        <v>PCE</v>
      </c>
      <c r="E88" s="67">
        <f>'HỢP ĐỒNG'!E92</f>
        <v>128</v>
      </c>
      <c r="F88" s="329">
        <f>'HỢP ĐỒNG'!F92</f>
        <v>6.03</v>
      </c>
      <c r="G88" s="322">
        <f t="shared" si="1"/>
        <v>771.84</v>
      </c>
      <c r="H88" s="142"/>
      <c r="I88" s="154"/>
      <c r="K88" s="231"/>
    </row>
    <row r="89" spans="1:11" s="66" customFormat="1" ht="39" customHeight="1">
      <c r="A89" s="385">
        <f>'HỢP ĐỒNG'!A93</f>
        <v>75</v>
      </c>
      <c r="B89" s="356" t="s">
        <v>391</v>
      </c>
      <c r="C89" s="387">
        <f>'HỢP ĐỒNG'!I93</f>
        <v>85012019</v>
      </c>
      <c r="D89" s="38" t="str">
        <f>'HỢP ĐỒNG'!D93</f>
        <v>PCE</v>
      </c>
      <c r="E89" s="67">
        <f>'HỢP ĐỒNG'!E93</f>
        <v>1000</v>
      </c>
      <c r="F89" s="329">
        <f>'HỢP ĐỒNG'!F93</f>
        <v>1.06</v>
      </c>
      <c r="G89" s="322">
        <f t="shared" si="1"/>
        <v>1060</v>
      </c>
      <c r="H89" s="142"/>
      <c r="I89" s="154"/>
      <c r="K89" s="231"/>
    </row>
    <row r="90" spans="1:11" s="66" customFormat="1" ht="39" customHeight="1">
      <c r="A90" s="385">
        <f>'HỢP ĐỒNG'!A94</f>
        <v>76</v>
      </c>
      <c r="B90" s="356" t="s">
        <v>392</v>
      </c>
      <c r="C90" s="387">
        <f>'HỢP ĐỒNG'!I94</f>
        <v>39249090</v>
      </c>
      <c r="D90" s="38" t="str">
        <f>'HỢP ĐỒNG'!D94</f>
        <v>PCE</v>
      </c>
      <c r="E90" s="67">
        <f>'HỢP ĐỒNG'!E94</f>
        <v>200</v>
      </c>
      <c r="F90" s="329">
        <f>'HỢP ĐỒNG'!F94</f>
        <v>1.69</v>
      </c>
      <c r="G90" s="322">
        <f t="shared" si="1"/>
        <v>338</v>
      </c>
      <c r="H90" s="142"/>
      <c r="I90" s="154"/>
      <c r="K90" s="231"/>
    </row>
    <row r="91" spans="1:11" s="66" customFormat="1" ht="39" customHeight="1">
      <c r="A91" s="385">
        <f>'HỢP ĐỒNG'!A95</f>
        <v>77</v>
      </c>
      <c r="B91" s="356" t="s">
        <v>393</v>
      </c>
      <c r="C91" s="387">
        <f>'HỢP ĐỒNG'!I95</f>
        <v>64051000</v>
      </c>
      <c r="D91" s="38" t="str">
        <f>'HỢP ĐỒNG'!D95</f>
        <v>PR</v>
      </c>
      <c r="E91" s="67">
        <f>'HỢP ĐỒNG'!E95</f>
        <v>130</v>
      </c>
      <c r="F91" s="329">
        <f>'HỢP ĐỒNG'!F95</f>
        <v>3.02</v>
      </c>
      <c r="G91" s="322">
        <f t="shared" si="1"/>
        <v>392.6</v>
      </c>
      <c r="H91" s="142"/>
      <c r="I91" s="154"/>
      <c r="K91" s="231"/>
    </row>
    <row r="92" spans="1:11" s="66" customFormat="1" ht="39" customHeight="1">
      <c r="A92" s="385">
        <f>'HỢP ĐỒNG'!A96</f>
        <v>78</v>
      </c>
      <c r="B92" s="356" t="s">
        <v>393</v>
      </c>
      <c r="C92" s="387">
        <f>'HỢP ĐỒNG'!I96</f>
        <v>64051000</v>
      </c>
      <c r="D92" s="38" t="str">
        <f>'HỢP ĐỒNG'!D96</f>
        <v>PR</v>
      </c>
      <c r="E92" s="67">
        <f>'HỢP ĐỒNG'!E96</f>
        <v>75</v>
      </c>
      <c r="F92" s="329">
        <f>'HỢP ĐỒNG'!F96</f>
        <v>3.02</v>
      </c>
      <c r="G92" s="322">
        <f t="shared" si="1"/>
        <v>226.5</v>
      </c>
      <c r="H92" s="142"/>
      <c r="I92" s="154"/>
      <c r="K92" s="231"/>
    </row>
    <row r="93" spans="1:11" s="66" customFormat="1" ht="39" customHeight="1">
      <c r="A93" s="385">
        <f>'HỢP ĐỒNG'!A97</f>
        <v>79</v>
      </c>
      <c r="B93" s="356" t="s">
        <v>394</v>
      </c>
      <c r="C93" s="387">
        <f>'HỢP ĐỒNG'!I97</f>
        <v>64051000</v>
      </c>
      <c r="D93" s="38" t="str">
        <f>'HỢP ĐỒNG'!D97</f>
        <v>PR</v>
      </c>
      <c r="E93" s="67">
        <f>'HỢP ĐỒNG'!E97</f>
        <v>180</v>
      </c>
      <c r="F93" s="329">
        <f>'HỢP ĐỒNG'!F97</f>
        <v>3.02</v>
      </c>
      <c r="G93" s="322">
        <f t="shared" si="1"/>
        <v>543.6</v>
      </c>
      <c r="H93" s="142"/>
      <c r="I93" s="154"/>
      <c r="K93" s="231"/>
    </row>
    <row r="94" spans="1:11" s="66" customFormat="1" ht="39" customHeight="1">
      <c r="A94" s="385">
        <f>'HỢP ĐỒNG'!A98</f>
        <v>80</v>
      </c>
      <c r="B94" s="356" t="s">
        <v>395</v>
      </c>
      <c r="C94" s="387">
        <f>'HỢP ĐỒNG'!I98</f>
        <v>90258000</v>
      </c>
      <c r="D94" s="38" t="str">
        <f>'HỢP ĐỒNG'!D98</f>
        <v>PCE</v>
      </c>
      <c r="E94" s="67">
        <f>'HỢP ĐỒNG'!E98</f>
        <v>400</v>
      </c>
      <c r="F94" s="329">
        <f>'HỢP ĐỒNG'!F98</f>
        <v>1.88</v>
      </c>
      <c r="G94" s="322">
        <f t="shared" si="1"/>
        <v>752</v>
      </c>
      <c r="H94" s="142"/>
      <c r="I94" s="154"/>
      <c r="K94" s="231"/>
    </row>
    <row r="95" spans="1:11" s="66" customFormat="1" ht="39" customHeight="1">
      <c r="A95" s="385">
        <f>'HỢP ĐỒNG'!A99</f>
        <v>81</v>
      </c>
      <c r="B95" s="356" t="s">
        <v>396</v>
      </c>
      <c r="C95" s="387">
        <f>'HỢP ĐỒNG'!I99</f>
        <v>39269099</v>
      </c>
      <c r="D95" s="38" t="str">
        <f>'HỢP ĐỒNG'!D99</f>
        <v>PCE</v>
      </c>
      <c r="E95" s="67">
        <f>'HỢP ĐỒNG'!E99</f>
        <v>1600</v>
      </c>
      <c r="F95" s="329">
        <f>'HỢP ĐỒNG'!F99</f>
        <v>9.4E-2</v>
      </c>
      <c r="G95" s="322">
        <f t="shared" si="1"/>
        <v>150.4</v>
      </c>
      <c r="H95" s="142"/>
      <c r="I95" s="154"/>
      <c r="K95" s="231"/>
    </row>
    <row r="96" spans="1:11" s="66" customFormat="1" ht="39" customHeight="1">
      <c r="A96" s="385">
        <f>'HỢP ĐỒNG'!A100</f>
        <v>82</v>
      </c>
      <c r="B96" s="356" t="s">
        <v>397</v>
      </c>
      <c r="C96" s="387">
        <f>'HỢP ĐỒNG'!I100</f>
        <v>56081990</v>
      </c>
      <c r="D96" s="38" t="str">
        <f>'HỢP ĐỒNG'!D100</f>
        <v>PCE</v>
      </c>
      <c r="E96" s="67">
        <f>'HỢP ĐỒNG'!E100</f>
        <v>2768</v>
      </c>
      <c r="F96" s="329">
        <f>'HỢP ĐỒNG'!F100</f>
        <v>1.32</v>
      </c>
      <c r="G96" s="322">
        <f t="shared" si="1"/>
        <v>3653.76</v>
      </c>
      <c r="H96" s="142"/>
      <c r="I96" s="154"/>
      <c r="K96" s="231"/>
    </row>
    <row r="97" spans="1:11" s="66" customFormat="1" ht="39" customHeight="1">
      <c r="A97" s="385">
        <f>'HỢP ĐỒNG'!A101</f>
        <v>83</v>
      </c>
      <c r="B97" s="356" t="s">
        <v>398</v>
      </c>
      <c r="C97" s="387">
        <f>'HỢP ĐỒNG'!I101</f>
        <v>94054290</v>
      </c>
      <c r="D97" s="38" t="str">
        <f>'HỢP ĐỒNG'!D101</f>
        <v>PCE</v>
      </c>
      <c r="E97" s="67">
        <f>'HỢP ĐỒNG'!E101</f>
        <v>600</v>
      </c>
      <c r="F97" s="329">
        <f>'HỢP ĐỒNG'!F101</f>
        <v>20.73</v>
      </c>
      <c r="G97" s="322">
        <f t="shared" si="1"/>
        <v>12438</v>
      </c>
      <c r="H97" s="142"/>
      <c r="I97" s="154"/>
      <c r="K97" s="231"/>
    </row>
    <row r="98" spans="1:11" s="66" customFormat="1" ht="39" customHeight="1">
      <c r="A98" s="385">
        <f>'HỢP ĐỒNG'!A102</f>
        <v>84</v>
      </c>
      <c r="B98" s="356" t="s">
        <v>399</v>
      </c>
      <c r="C98" s="387">
        <f>'HỢP ĐỒNG'!I102</f>
        <v>85444299</v>
      </c>
      <c r="D98" s="38" t="str">
        <f>'HỢP ĐỒNG'!D102</f>
        <v>PCE</v>
      </c>
      <c r="E98" s="67">
        <f>'HỢP ĐỒNG'!E102</f>
        <v>2830</v>
      </c>
      <c r="F98" s="329">
        <f>'HỢP ĐỒNG'!F102</f>
        <v>0.75</v>
      </c>
      <c r="G98" s="322">
        <f t="shared" si="1"/>
        <v>2122.5</v>
      </c>
      <c r="H98" s="142"/>
      <c r="I98" s="154"/>
      <c r="K98" s="231"/>
    </row>
    <row r="99" spans="1:11" s="66" customFormat="1" ht="39" customHeight="1">
      <c r="A99" s="385">
        <f>'HỢP ĐỒNG'!A103</f>
        <v>85</v>
      </c>
      <c r="B99" s="356" t="s">
        <v>399</v>
      </c>
      <c r="C99" s="387">
        <f>'HỢP ĐỒNG'!I103</f>
        <v>85444299</v>
      </c>
      <c r="D99" s="38" t="str">
        <f>'HỢP ĐỒNG'!D103</f>
        <v>ROL</v>
      </c>
      <c r="E99" s="67">
        <f>'HỢP ĐỒNG'!E103</f>
        <v>52</v>
      </c>
      <c r="F99" s="329">
        <f>'HỢP ĐỒNG'!F103</f>
        <v>26.39</v>
      </c>
      <c r="G99" s="322">
        <f t="shared" si="1"/>
        <v>1372.28</v>
      </c>
      <c r="H99" s="142"/>
      <c r="I99" s="154"/>
      <c r="K99" s="231"/>
    </row>
    <row r="100" spans="1:11" s="66" customFormat="1" ht="39" customHeight="1">
      <c r="A100" s="385">
        <f>'HỢP ĐỒNG'!A104</f>
        <v>86</v>
      </c>
      <c r="B100" s="356" t="s">
        <v>400</v>
      </c>
      <c r="C100" s="387">
        <f>'HỢP ĐỒNG'!I104</f>
        <v>85437029</v>
      </c>
      <c r="D100" s="38" t="str">
        <f>'HỢP ĐỒNG'!D104</f>
        <v>PCE</v>
      </c>
      <c r="E100" s="67">
        <f>'HỢP ĐỒNG'!E104</f>
        <v>350</v>
      </c>
      <c r="F100" s="329">
        <f>'HỢP ĐỒNG'!F104</f>
        <v>0.45</v>
      </c>
      <c r="G100" s="322">
        <f t="shared" si="1"/>
        <v>157.5</v>
      </c>
      <c r="H100" s="142"/>
      <c r="I100" s="154"/>
      <c r="K100" s="231"/>
    </row>
    <row r="101" spans="1:11" s="66" customFormat="1" ht="39" customHeight="1">
      <c r="A101" s="385">
        <f>'HỢP ĐỒNG'!A105</f>
        <v>87</v>
      </c>
      <c r="B101" s="356" t="s">
        <v>400</v>
      </c>
      <c r="C101" s="387">
        <f>'HỢP ĐỒNG'!I105</f>
        <v>85437029</v>
      </c>
      <c r="D101" s="38" t="str">
        <f>'HỢP ĐỒNG'!D105</f>
        <v>PCE</v>
      </c>
      <c r="E101" s="67">
        <f>'HỢP ĐỒNG'!E105</f>
        <v>150</v>
      </c>
      <c r="F101" s="329">
        <f>'HỢP ĐỒNG'!F105</f>
        <v>0.93</v>
      </c>
      <c r="G101" s="322">
        <f t="shared" si="1"/>
        <v>139.5</v>
      </c>
      <c r="H101" s="142"/>
      <c r="I101" s="154"/>
      <c r="K101" s="231"/>
    </row>
    <row r="102" spans="1:11" s="66" customFormat="1" ht="39" customHeight="1">
      <c r="A102" s="385">
        <f>'HỢP ĐỒNG'!A106</f>
        <v>88</v>
      </c>
      <c r="B102" s="356" t="s">
        <v>401</v>
      </c>
      <c r="C102" s="387">
        <f>'HỢP ĐỒNG'!I106</f>
        <v>85437090</v>
      </c>
      <c r="D102" s="38" t="str">
        <f>'HỢP ĐỒNG'!D106</f>
        <v>PCE</v>
      </c>
      <c r="E102" s="67">
        <f>'HỢP ĐỒNG'!E106</f>
        <v>250</v>
      </c>
      <c r="F102" s="329">
        <f>'HỢP ĐỒNG'!F106</f>
        <v>2.2599999999999998</v>
      </c>
      <c r="G102" s="322">
        <f t="shared" si="1"/>
        <v>565</v>
      </c>
      <c r="H102" s="142"/>
      <c r="I102" s="154"/>
      <c r="K102" s="231"/>
    </row>
    <row r="103" spans="1:11" s="66" customFormat="1" ht="39" customHeight="1">
      <c r="A103" s="385">
        <f>'HỢP ĐỒNG'!A107</f>
        <v>89</v>
      </c>
      <c r="B103" s="356" t="s">
        <v>402</v>
      </c>
      <c r="C103" s="387">
        <f>'HỢP ĐỒNG'!I107</f>
        <v>85369094</v>
      </c>
      <c r="D103" s="38" t="str">
        <f>'HỢP ĐỒNG'!D107</f>
        <v>PCE</v>
      </c>
      <c r="E103" s="67">
        <f>'HỢP ĐỒNG'!E107</f>
        <v>500</v>
      </c>
      <c r="F103" s="329">
        <f>'HỢP ĐỒNG'!F107</f>
        <v>0.26</v>
      </c>
      <c r="G103" s="322">
        <f t="shared" si="1"/>
        <v>130</v>
      </c>
      <c r="H103" s="142"/>
      <c r="I103" s="154"/>
      <c r="K103" s="231"/>
    </row>
    <row r="104" spans="1:11" s="66" customFormat="1" ht="39" customHeight="1">
      <c r="A104" s="385">
        <f>'HỢP ĐỒNG'!A108</f>
        <v>90</v>
      </c>
      <c r="B104" s="356" t="s">
        <v>189</v>
      </c>
      <c r="C104" s="387">
        <f>'HỢP ĐỒNG'!I108</f>
        <v>90191010</v>
      </c>
      <c r="D104" s="38" t="str">
        <f>'HỢP ĐỒNG'!D108</f>
        <v>PCE</v>
      </c>
      <c r="E104" s="67">
        <f>'HỢP ĐỒNG'!E108</f>
        <v>100</v>
      </c>
      <c r="F104" s="329">
        <f>'HỢP ĐỒNG'!F108</f>
        <v>9.42</v>
      </c>
      <c r="G104" s="322">
        <f t="shared" si="1"/>
        <v>942</v>
      </c>
      <c r="H104" s="142"/>
      <c r="I104" s="154"/>
      <c r="K104" s="231"/>
    </row>
    <row r="105" spans="1:11" s="66" customFormat="1" ht="39" customHeight="1">
      <c r="A105" s="385">
        <f>'HỢP ĐỒNG'!A109</f>
        <v>91</v>
      </c>
      <c r="B105" s="356" t="s">
        <v>403</v>
      </c>
      <c r="C105" s="387">
        <f>'HỢP ĐỒNG'!I109</f>
        <v>85013170</v>
      </c>
      <c r="D105" s="38" t="str">
        <f>'HỢP ĐỒNG'!D109</f>
        <v>PCE</v>
      </c>
      <c r="E105" s="67">
        <f>'HỢP ĐỒNG'!E109</f>
        <v>370</v>
      </c>
      <c r="F105" s="329">
        <f>'HỢP ĐỒNG'!F109</f>
        <v>0.68</v>
      </c>
      <c r="G105" s="322">
        <f t="shared" si="1"/>
        <v>251.60000000000002</v>
      </c>
      <c r="H105" s="142"/>
      <c r="I105" s="154"/>
      <c r="K105" s="231"/>
    </row>
    <row r="106" spans="1:11" s="66" customFormat="1" ht="39" customHeight="1">
      <c r="A106" s="385">
        <f>'HỢP ĐỒNG'!A110</f>
        <v>92</v>
      </c>
      <c r="B106" s="356" t="s">
        <v>190</v>
      </c>
      <c r="C106" s="387">
        <f>'HỢP ĐỒNG'!I110</f>
        <v>39241099</v>
      </c>
      <c r="D106" s="38" t="str">
        <f>'HỢP ĐỒNG'!D110</f>
        <v>PCE</v>
      </c>
      <c r="E106" s="67">
        <f>'HỢP ĐỒNG'!E110</f>
        <v>800</v>
      </c>
      <c r="F106" s="329">
        <f>'HỢP ĐỒNG'!F110</f>
        <v>0.6</v>
      </c>
      <c r="G106" s="322">
        <f t="shared" si="1"/>
        <v>480</v>
      </c>
      <c r="H106" s="142"/>
      <c r="I106" s="154"/>
      <c r="K106" s="231"/>
    </row>
    <row r="107" spans="1:11" s="66" customFormat="1" ht="39" customHeight="1">
      <c r="A107" s="385">
        <f>'HỢP ĐỒNG'!A111</f>
        <v>93</v>
      </c>
      <c r="B107" s="356" t="s">
        <v>404</v>
      </c>
      <c r="C107" s="387">
        <f>'HỢP ĐỒNG'!I111</f>
        <v>84834090</v>
      </c>
      <c r="D107" s="38" t="str">
        <f>'HỢP ĐỒNG'!D111</f>
        <v>PCE</v>
      </c>
      <c r="E107" s="67">
        <f>'HỢP ĐỒNG'!E111</f>
        <v>50</v>
      </c>
      <c r="F107" s="329">
        <f>'HỢP ĐỒNG'!F111</f>
        <v>15.83</v>
      </c>
      <c r="G107" s="322">
        <f t="shared" si="1"/>
        <v>791.5</v>
      </c>
      <c r="H107" s="142"/>
      <c r="I107" s="154"/>
      <c r="K107" s="231"/>
    </row>
    <row r="108" spans="1:11" s="66" customFormat="1" ht="39" customHeight="1">
      <c r="A108" s="385">
        <f>'HỢP ĐỒNG'!A112</f>
        <v>94</v>
      </c>
      <c r="B108" s="356" t="s">
        <v>405</v>
      </c>
      <c r="C108" s="387">
        <f>'HỢP ĐỒNG'!I112</f>
        <v>84529099</v>
      </c>
      <c r="D108" s="38" t="str">
        <f>'HỢP ĐỒNG'!D112</f>
        <v>SET</v>
      </c>
      <c r="E108" s="67">
        <f>'HỢP ĐỒNG'!E112</f>
        <v>3</v>
      </c>
      <c r="F108" s="329">
        <f>'HỢP ĐỒNG'!F112</f>
        <v>546.61</v>
      </c>
      <c r="G108" s="322">
        <f t="shared" si="1"/>
        <v>1639.83</v>
      </c>
      <c r="H108" s="142"/>
      <c r="I108" s="154"/>
      <c r="K108" s="231"/>
    </row>
    <row r="109" spans="1:11" s="66" customFormat="1" ht="39" customHeight="1">
      <c r="A109" s="385">
        <f>'HỢP ĐỒNG'!A113</f>
        <v>95</v>
      </c>
      <c r="B109" s="356" t="s">
        <v>406</v>
      </c>
      <c r="C109" s="387">
        <f>'HỢP ĐỒNG'!I113</f>
        <v>84529099</v>
      </c>
      <c r="D109" s="38" t="str">
        <f>'HỢP ĐỒNG'!D113</f>
        <v>PCE</v>
      </c>
      <c r="E109" s="67">
        <f>'HỢP ĐỒNG'!E113</f>
        <v>10</v>
      </c>
      <c r="F109" s="329">
        <f>'HỢP ĐỒNG'!F113</f>
        <v>16.96</v>
      </c>
      <c r="G109" s="322">
        <f t="shared" si="1"/>
        <v>169.60000000000002</v>
      </c>
      <c r="H109" s="142"/>
      <c r="I109" s="154"/>
      <c r="K109" s="231"/>
    </row>
    <row r="110" spans="1:11" s="66" customFormat="1" ht="39" customHeight="1">
      <c r="A110" s="385">
        <f>'HỢP ĐỒNG'!A114</f>
        <v>96</v>
      </c>
      <c r="B110" s="356" t="s">
        <v>407</v>
      </c>
      <c r="C110" s="387">
        <f>'HỢP ĐỒNG'!I114</f>
        <v>67021000</v>
      </c>
      <c r="D110" s="38" t="str">
        <f>'HỢP ĐỒNG'!D114</f>
        <v>KGM</v>
      </c>
      <c r="E110" s="67">
        <f>'HỢP ĐỒNG'!E114</f>
        <v>100</v>
      </c>
      <c r="F110" s="329">
        <f>'HỢP ĐỒNG'!F114</f>
        <v>0.8</v>
      </c>
      <c r="G110" s="322">
        <f t="shared" si="1"/>
        <v>80</v>
      </c>
      <c r="H110" s="142"/>
      <c r="I110" s="154"/>
      <c r="K110" s="231"/>
    </row>
    <row r="111" spans="1:11" s="66" customFormat="1" ht="39" customHeight="1">
      <c r="A111" s="385">
        <f>'HỢP ĐỒNG'!A115</f>
        <v>97</v>
      </c>
      <c r="B111" s="356" t="s">
        <v>400</v>
      </c>
      <c r="C111" s="387">
        <f>'HỢP ĐỒNG'!I115</f>
        <v>85437029</v>
      </c>
      <c r="D111" s="38" t="str">
        <f>'HỢP ĐỒNG'!D115</f>
        <v>PCE</v>
      </c>
      <c r="E111" s="67">
        <f>'HỢP ĐỒNG'!E115</f>
        <v>1900</v>
      </c>
      <c r="F111" s="329">
        <f>'HỢP ĐỒNG'!F115</f>
        <v>0.75</v>
      </c>
      <c r="G111" s="322">
        <f t="shared" si="1"/>
        <v>1425</v>
      </c>
      <c r="H111" s="142"/>
      <c r="I111" s="154"/>
      <c r="K111" s="231"/>
    </row>
    <row r="112" spans="1:11" s="66" customFormat="1" ht="39" customHeight="1">
      <c r="A112" s="385">
        <f>'HỢP ĐỒNG'!A116</f>
        <v>98</v>
      </c>
      <c r="B112" s="356" t="s">
        <v>400</v>
      </c>
      <c r="C112" s="387">
        <f>'HỢP ĐỒNG'!I116</f>
        <v>85437029</v>
      </c>
      <c r="D112" s="38" t="str">
        <f>'HỢP ĐỒNG'!D116</f>
        <v>PCE</v>
      </c>
      <c r="E112" s="67">
        <f>'HỢP ĐỒNG'!E116</f>
        <v>6800</v>
      </c>
      <c r="F112" s="329">
        <f>'HỢP ĐỒNG'!F116</f>
        <v>0.34</v>
      </c>
      <c r="G112" s="322">
        <f t="shared" si="1"/>
        <v>2312</v>
      </c>
      <c r="H112" s="142"/>
      <c r="I112" s="154"/>
      <c r="K112" s="231"/>
    </row>
    <row r="113" spans="1:11" s="66" customFormat="1" ht="39" customHeight="1">
      <c r="A113" s="385">
        <f>'HỢP ĐỒNG'!A117</f>
        <v>99</v>
      </c>
      <c r="B113" s="356" t="s">
        <v>408</v>
      </c>
      <c r="C113" s="387">
        <f>'HỢP ĐỒNG'!I117</f>
        <v>85437029</v>
      </c>
      <c r="D113" s="38" t="str">
        <f>'HỢP ĐỒNG'!D117</f>
        <v>PCE</v>
      </c>
      <c r="E113" s="67">
        <f>'HỢP ĐỒNG'!E117</f>
        <v>3450</v>
      </c>
      <c r="F113" s="329">
        <f>'HỢP ĐỒNG'!F117</f>
        <v>0.56999999999999995</v>
      </c>
      <c r="G113" s="322">
        <f t="shared" si="1"/>
        <v>1966.4999999999998</v>
      </c>
      <c r="H113" s="142"/>
      <c r="I113" s="154"/>
      <c r="K113" s="231"/>
    </row>
    <row r="114" spans="1:11" s="66" customFormat="1" ht="39" customHeight="1">
      <c r="A114" s="385">
        <f>'HỢP ĐỒNG'!A118</f>
        <v>100</v>
      </c>
      <c r="B114" s="356" t="s">
        <v>409</v>
      </c>
      <c r="C114" s="387">
        <f>'HỢP ĐỒNG'!I118</f>
        <v>84672900</v>
      </c>
      <c r="D114" s="38" t="str">
        <f>'HỢP ĐỒNG'!D118</f>
        <v>PCE</v>
      </c>
      <c r="E114" s="67">
        <f>'HỢP ĐỒNG'!E118</f>
        <v>16</v>
      </c>
      <c r="F114" s="329">
        <f>'HỢP ĐỒNG'!F118</f>
        <v>30.16</v>
      </c>
      <c r="G114" s="322">
        <f t="shared" si="1"/>
        <v>482.56</v>
      </c>
      <c r="H114" s="142"/>
      <c r="I114" s="154"/>
      <c r="K114" s="231"/>
    </row>
    <row r="115" spans="1:11" s="66" customFormat="1" ht="39" customHeight="1">
      <c r="A115" s="385">
        <f>'HỢP ĐỒNG'!A119</f>
        <v>101</v>
      </c>
      <c r="B115" s="356" t="s">
        <v>410</v>
      </c>
      <c r="C115" s="387">
        <f>'HỢP ĐỒNG'!I119</f>
        <v>94054290</v>
      </c>
      <c r="D115" s="38" t="str">
        <f>'HỢP ĐỒNG'!D119</f>
        <v>PCE</v>
      </c>
      <c r="E115" s="67">
        <f>'HỢP ĐỒNG'!E119</f>
        <v>120</v>
      </c>
      <c r="F115" s="329">
        <f>'HỢP ĐỒNG'!F119</f>
        <v>2.0699999999999998</v>
      </c>
      <c r="G115" s="322">
        <f t="shared" si="1"/>
        <v>248.39999999999998</v>
      </c>
      <c r="H115" s="142"/>
      <c r="I115" s="154"/>
      <c r="K115" s="231"/>
    </row>
    <row r="116" spans="1:11" s="66" customFormat="1" ht="39" customHeight="1">
      <c r="A116" s="385">
        <f>'HỢP ĐỒNG'!A120</f>
        <v>102</v>
      </c>
      <c r="B116" s="356" t="s">
        <v>410</v>
      </c>
      <c r="C116" s="387">
        <f>'HỢP ĐỒNG'!I120</f>
        <v>94054290</v>
      </c>
      <c r="D116" s="38" t="str">
        <f>'HỢP ĐỒNG'!D120</f>
        <v>PCE</v>
      </c>
      <c r="E116" s="67">
        <f>'HỢP ĐỒNG'!E120</f>
        <v>160</v>
      </c>
      <c r="F116" s="329">
        <f>'HỢP ĐỒNG'!F120</f>
        <v>2.2599999999999998</v>
      </c>
      <c r="G116" s="322">
        <f t="shared" si="1"/>
        <v>361.59999999999997</v>
      </c>
      <c r="H116" s="142"/>
      <c r="I116" s="154"/>
      <c r="K116" s="231"/>
    </row>
    <row r="117" spans="1:11" s="66" customFormat="1" ht="39" customHeight="1">
      <c r="A117" s="385">
        <f>'HỢP ĐỒNG'!A121</f>
        <v>103</v>
      </c>
      <c r="B117" s="356" t="s">
        <v>410</v>
      </c>
      <c r="C117" s="387">
        <f>'HỢP ĐỒNG'!I121</f>
        <v>94054290</v>
      </c>
      <c r="D117" s="38" t="str">
        <f>'HỢP ĐỒNG'!D121</f>
        <v>PCE</v>
      </c>
      <c r="E117" s="67">
        <f>'HỢP ĐỒNG'!E121</f>
        <v>200</v>
      </c>
      <c r="F117" s="329">
        <f>'HỢP ĐỒNG'!F121</f>
        <v>2.4500000000000002</v>
      </c>
      <c r="G117" s="322">
        <f t="shared" si="1"/>
        <v>490.00000000000006</v>
      </c>
      <c r="H117" s="142"/>
      <c r="I117" s="154"/>
      <c r="K117" s="231"/>
    </row>
    <row r="118" spans="1:11" s="66" customFormat="1" ht="39" customHeight="1">
      <c r="A118" s="385">
        <f>'HỢP ĐỒNG'!A122</f>
        <v>104</v>
      </c>
      <c r="B118" s="356" t="s">
        <v>410</v>
      </c>
      <c r="C118" s="387">
        <f>'HỢP ĐỒNG'!I122</f>
        <v>94054290</v>
      </c>
      <c r="D118" s="38" t="str">
        <f>'HỢP ĐỒNG'!D122</f>
        <v>PCE</v>
      </c>
      <c r="E118" s="67">
        <f>'HỢP ĐỒNG'!E122</f>
        <v>600</v>
      </c>
      <c r="F118" s="329">
        <f>'HỢP ĐỒNG'!F122</f>
        <v>2.64</v>
      </c>
      <c r="G118" s="322">
        <f t="shared" si="1"/>
        <v>1584</v>
      </c>
      <c r="H118" s="142"/>
      <c r="I118" s="154"/>
      <c r="K118" s="231"/>
    </row>
    <row r="119" spans="1:11" s="66" customFormat="1" ht="39" customHeight="1">
      <c r="A119" s="385">
        <f>'HỢP ĐỒNG'!A123</f>
        <v>105</v>
      </c>
      <c r="B119" s="356" t="s">
        <v>410</v>
      </c>
      <c r="C119" s="387">
        <f>'HỢP ĐỒNG'!I123</f>
        <v>94054290</v>
      </c>
      <c r="D119" s="38" t="str">
        <f>'HỢP ĐỒNG'!D123</f>
        <v>PCE</v>
      </c>
      <c r="E119" s="67">
        <f>'HỢP ĐỒNG'!E123</f>
        <v>800</v>
      </c>
      <c r="F119" s="329">
        <f>'HỢP ĐỒNG'!F123</f>
        <v>2.83</v>
      </c>
      <c r="G119" s="322">
        <f t="shared" si="1"/>
        <v>2264</v>
      </c>
      <c r="H119" s="142"/>
      <c r="I119" s="154"/>
      <c r="K119" s="231"/>
    </row>
    <row r="120" spans="1:11" s="66" customFormat="1" ht="39" customHeight="1">
      <c r="A120" s="385">
        <f>'HỢP ĐỒNG'!A124</f>
        <v>106</v>
      </c>
      <c r="B120" s="356" t="s">
        <v>410</v>
      </c>
      <c r="C120" s="387">
        <f>'HỢP ĐỒNG'!I124</f>
        <v>94054290</v>
      </c>
      <c r="D120" s="38" t="str">
        <f>'HỢP ĐỒNG'!D124</f>
        <v>PCE</v>
      </c>
      <c r="E120" s="67">
        <f>'HỢP ĐỒNG'!E124</f>
        <v>600</v>
      </c>
      <c r="F120" s="329">
        <f>'HỢP ĐỒNG'!F124</f>
        <v>3.02</v>
      </c>
      <c r="G120" s="322">
        <f t="shared" si="1"/>
        <v>1812</v>
      </c>
      <c r="H120" s="142"/>
      <c r="I120" s="154"/>
      <c r="K120" s="231"/>
    </row>
    <row r="121" spans="1:11" s="66" customFormat="1" ht="39" customHeight="1">
      <c r="A121" s="385">
        <f>'HỢP ĐỒNG'!A125</f>
        <v>107</v>
      </c>
      <c r="B121" s="356" t="s">
        <v>410</v>
      </c>
      <c r="C121" s="387">
        <f>'HỢP ĐỒNG'!I125</f>
        <v>94054290</v>
      </c>
      <c r="D121" s="38" t="str">
        <f>'HỢP ĐỒNG'!D125</f>
        <v>PCE</v>
      </c>
      <c r="E121" s="67">
        <f>'HỢP ĐỒNG'!E125</f>
        <v>400</v>
      </c>
      <c r="F121" s="329">
        <f>'HỢP ĐỒNG'!F125</f>
        <v>3.2</v>
      </c>
      <c r="G121" s="322">
        <f t="shared" si="1"/>
        <v>1280</v>
      </c>
      <c r="H121" s="142"/>
      <c r="I121" s="154"/>
      <c r="K121" s="231"/>
    </row>
    <row r="122" spans="1:11" s="66" customFormat="1" ht="39" customHeight="1">
      <c r="A122" s="385">
        <f>'HỢP ĐỒNG'!A126</f>
        <v>108</v>
      </c>
      <c r="B122" s="356" t="s">
        <v>410</v>
      </c>
      <c r="C122" s="387">
        <f>'HỢP ĐỒNG'!I126</f>
        <v>94054290</v>
      </c>
      <c r="D122" s="38" t="str">
        <f>'HỢP ĐỒNG'!D126</f>
        <v>PCE</v>
      </c>
      <c r="E122" s="67">
        <f>'HỢP ĐỒNG'!E126</f>
        <v>250</v>
      </c>
      <c r="F122" s="329">
        <f>'HỢP ĐỒNG'!F126</f>
        <v>2.2599999999999998</v>
      </c>
      <c r="G122" s="322">
        <f t="shared" si="1"/>
        <v>565</v>
      </c>
      <c r="H122" s="142"/>
      <c r="I122" s="154"/>
      <c r="K122" s="231"/>
    </row>
    <row r="123" spans="1:11" s="66" customFormat="1" ht="39" customHeight="1">
      <c r="A123" s="385">
        <f>'HỢP ĐỒNG'!A127</f>
        <v>109</v>
      </c>
      <c r="B123" s="356" t="s">
        <v>410</v>
      </c>
      <c r="C123" s="387">
        <f>'HỢP ĐỒNG'!I127</f>
        <v>94054290</v>
      </c>
      <c r="D123" s="38" t="str">
        <f>'HỢP ĐỒNG'!D127</f>
        <v>PCE</v>
      </c>
      <c r="E123" s="67">
        <f>'HỢP ĐỒNG'!E127</f>
        <v>250</v>
      </c>
      <c r="F123" s="329">
        <f>'HỢP ĐỒNG'!F127</f>
        <v>2.64</v>
      </c>
      <c r="G123" s="322">
        <f t="shared" si="1"/>
        <v>660</v>
      </c>
      <c r="H123" s="142"/>
      <c r="I123" s="154"/>
      <c r="K123" s="231"/>
    </row>
    <row r="124" spans="1:11" s="66" customFormat="1" ht="39" customHeight="1">
      <c r="A124" s="385">
        <f>'HỢP ĐỒNG'!A128</f>
        <v>110</v>
      </c>
      <c r="B124" s="356" t="s">
        <v>410</v>
      </c>
      <c r="C124" s="387">
        <f>'HỢP ĐỒNG'!I128</f>
        <v>94054290</v>
      </c>
      <c r="D124" s="38" t="str">
        <f>'HỢP ĐỒNG'!D128</f>
        <v>PCE</v>
      </c>
      <c r="E124" s="67">
        <f>'HỢP ĐỒNG'!E128</f>
        <v>250</v>
      </c>
      <c r="F124" s="329">
        <f>'HỢP ĐỒNG'!F128</f>
        <v>3.02</v>
      </c>
      <c r="G124" s="322">
        <f t="shared" si="1"/>
        <v>755</v>
      </c>
      <c r="H124" s="142"/>
      <c r="I124" s="154"/>
      <c r="K124" s="231"/>
    </row>
    <row r="125" spans="1:11" s="66" customFormat="1" ht="39" customHeight="1">
      <c r="A125" s="385">
        <f>'HỢP ĐỒNG'!A129</f>
        <v>111</v>
      </c>
      <c r="B125" s="356" t="s">
        <v>410</v>
      </c>
      <c r="C125" s="387">
        <f>'HỢP ĐỒNG'!I129</f>
        <v>94054290</v>
      </c>
      <c r="D125" s="38" t="str">
        <f>'HỢP ĐỒNG'!D129</f>
        <v>PCE</v>
      </c>
      <c r="E125" s="67">
        <f>'HỢP ĐỒNG'!E129</f>
        <v>250</v>
      </c>
      <c r="F125" s="329">
        <f>'HỢP ĐỒNG'!F129</f>
        <v>3.39</v>
      </c>
      <c r="G125" s="322">
        <f t="shared" si="1"/>
        <v>847.5</v>
      </c>
      <c r="H125" s="142"/>
      <c r="I125" s="154"/>
      <c r="K125" s="231"/>
    </row>
    <row r="126" spans="1:11" s="66" customFormat="1" ht="39" customHeight="1">
      <c r="A126" s="385">
        <f>'HỢP ĐỒNG'!A130</f>
        <v>112</v>
      </c>
      <c r="B126" s="356" t="s">
        <v>410</v>
      </c>
      <c r="C126" s="387">
        <f>'HỢP ĐỒNG'!I130</f>
        <v>94054290</v>
      </c>
      <c r="D126" s="38" t="str">
        <f>'HỢP ĐỒNG'!D130</f>
        <v>PCE</v>
      </c>
      <c r="E126" s="67">
        <f>'HỢP ĐỒNG'!E130</f>
        <v>2000</v>
      </c>
      <c r="F126" s="329">
        <f>'HỢP ĐỒNG'!F130</f>
        <v>2.0699999999999998</v>
      </c>
      <c r="G126" s="322">
        <f t="shared" si="1"/>
        <v>4140</v>
      </c>
      <c r="H126" s="142"/>
      <c r="I126" s="154"/>
      <c r="K126" s="231"/>
    </row>
    <row r="127" spans="1:11" s="66" customFormat="1" ht="39" customHeight="1">
      <c r="A127" s="385">
        <f>'HỢP ĐỒNG'!A131</f>
        <v>113</v>
      </c>
      <c r="B127" s="356" t="s">
        <v>410</v>
      </c>
      <c r="C127" s="387">
        <f>'HỢP ĐỒNG'!I131</f>
        <v>94054290</v>
      </c>
      <c r="D127" s="38" t="str">
        <f>'HỢP ĐỒNG'!D131</f>
        <v>PCE</v>
      </c>
      <c r="E127" s="67">
        <f>'HỢP ĐỒNG'!E131</f>
        <v>300</v>
      </c>
      <c r="F127" s="329">
        <f>'HỢP ĐỒNG'!F131</f>
        <v>2.64</v>
      </c>
      <c r="G127" s="322">
        <f t="shared" si="1"/>
        <v>792</v>
      </c>
      <c r="H127" s="142"/>
      <c r="I127" s="154"/>
      <c r="K127" s="231"/>
    </row>
    <row r="128" spans="1:11" s="66" customFormat="1" ht="39" customHeight="1">
      <c r="A128" s="385">
        <f>'HỢP ĐỒNG'!A132</f>
        <v>114</v>
      </c>
      <c r="B128" s="356" t="s">
        <v>410</v>
      </c>
      <c r="C128" s="387">
        <f>'HỢP ĐỒNG'!I132</f>
        <v>94054290</v>
      </c>
      <c r="D128" s="38" t="str">
        <f>'HỢP ĐỒNG'!D132</f>
        <v>PCE</v>
      </c>
      <c r="E128" s="67">
        <f>'HỢP ĐỒNG'!E132</f>
        <v>250</v>
      </c>
      <c r="F128" s="329">
        <f>'HỢP ĐỒNG'!F132</f>
        <v>3.39</v>
      </c>
      <c r="G128" s="322">
        <f t="shared" si="1"/>
        <v>847.5</v>
      </c>
      <c r="H128" s="142"/>
      <c r="I128" s="154"/>
      <c r="K128" s="231"/>
    </row>
    <row r="129" spans="1:11" s="66" customFormat="1" ht="39" customHeight="1">
      <c r="A129" s="385">
        <f>'HỢP ĐỒNG'!A133</f>
        <v>115</v>
      </c>
      <c r="B129" s="356" t="s">
        <v>410</v>
      </c>
      <c r="C129" s="387">
        <f>'HỢP ĐỒNG'!I133</f>
        <v>94054290</v>
      </c>
      <c r="D129" s="38" t="str">
        <f>'HỢP ĐỒNG'!D133</f>
        <v>PCE</v>
      </c>
      <c r="E129" s="67">
        <f>'HỢP ĐỒNG'!E133</f>
        <v>400</v>
      </c>
      <c r="F129" s="329">
        <f>'HỢP ĐỒNG'!F133</f>
        <v>4.9000000000000004</v>
      </c>
      <c r="G129" s="322">
        <f t="shared" si="1"/>
        <v>1960.0000000000002</v>
      </c>
      <c r="H129" s="142"/>
      <c r="I129" s="154"/>
      <c r="K129" s="231"/>
    </row>
    <row r="130" spans="1:11" s="66" customFormat="1" ht="39" customHeight="1">
      <c r="A130" s="385">
        <f>'HỢP ĐỒNG'!A134</f>
        <v>116</v>
      </c>
      <c r="B130" s="356" t="s">
        <v>411</v>
      </c>
      <c r="C130" s="387">
        <f>'HỢP ĐỒNG'!I134</f>
        <v>48192000</v>
      </c>
      <c r="D130" s="38" t="str">
        <f>'HỢP ĐỒNG'!D134</f>
        <v>KGM</v>
      </c>
      <c r="E130" s="67">
        <f>'HỢP ĐỒNG'!E134</f>
        <v>400</v>
      </c>
      <c r="F130" s="329">
        <f>'HỢP ĐỒNG'!F134</f>
        <v>0.8</v>
      </c>
      <c r="G130" s="322">
        <f t="shared" si="1"/>
        <v>320</v>
      </c>
      <c r="H130" s="142"/>
      <c r="I130" s="154"/>
      <c r="K130" s="231"/>
    </row>
    <row r="131" spans="1:11" s="66" customFormat="1" ht="39" customHeight="1">
      <c r="A131" s="385">
        <f>'HỢP ĐỒNG'!A135</f>
        <v>117</v>
      </c>
      <c r="B131" s="356" t="s">
        <v>190</v>
      </c>
      <c r="C131" s="387">
        <f>'HỢP ĐỒNG'!I135</f>
        <v>39239090</v>
      </c>
      <c r="D131" s="38" t="str">
        <f>'HỢP ĐỒNG'!D135</f>
        <v>KGM</v>
      </c>
      <c r="E131" s="67">
        <f>'HỢP ĐỒNG'!E135</f>
        <v>100</v>
      </c>
      <c r="F131" s="329">
        <f>'HỢP ĐỒNG'!F135</f>
        <v>1.3</v>
      </c>
      <c r="G131" s="322">
        <f t="shared" si="1"/>
        <v>130</v>
      </c>
      <c r="H131" s="142"/>
      <c r="I131" s="154"/>
      <c r="K131" s="231"/>
    </row>
    <row r="132" spans="1:11" s="66" customFormat="1" ht="39" customHeight="1">
      <c r="A132" s="385">
        <f>'HỢP ĐỒNG'!A136</f>
        <v>118</v>
      </c>
      <c r="B132" s="356" t="s">
        <v>412</v>
      </c>
      <c r="C132" s="387">
        <f>'HỢP ĐỒNG'!I136</f>
        <v>64029199</v>
      </c>
      <c r="D132" s="38" t="str">
        <f>'HỢP ĐỒNG'!D136</f>
        <v>PR</v>
      </c>
      <c r="E132" s="67">
        <f>'HỢP ĐỒNG'!E136</f>
        <v>200</v>
      </c>
      <c r="F132" s="329">
        <f>'HỢP ĐỒNG'!F136</f>
        <v>1.1299999999999999</v>
      </c>
      <c r="G132" s="322">
        <f t="shared" si="1"/>
        <v>225.99999999999997</v>
      </c>
      <c r="H132" s="142"/>
      <c r="I132" s="154"/>
      <c r="K132" s="231"/>
    </row>
    <row r="133" spans="1:11" s="66" customFormat="1" ht="39" customHeight="1">
      <c r="A133" s="385">
        <f>'HỢP ĐỒNG'!A137</f>
        <v>119</v>
      </c>
      <c r="B133" s="356" t="s">
        <v>413</v>
      </c>
      <c r="C133" s="387">
        <f>'HỢP ĐỒNG'!I137</f>
        <v>39269099</v>
      </c>
      <c r="D133" s="38" t="str">
        <f>'HỢP ĐỒNG'!D137</f>
        <v>SET</v>
      </c>
      <c r="E133" s="67">
        <f>'HỢP ĐỒNG'!E137</f>
        <v>500</v>
      </c>
      <c r="F133" s="329">
        <f>'HỢP ĐỒNG'!F137</f>
        <v>0.89</v>
      </c>
      <c r="G133" s="322">
        <f>F133*E133</f>
        <v>445</v>
      </c>
      <c r="H133" s="142"/>
      <c r="I133" s="154"/>
      <c r="K133" s="231"/>
    </row>
    <row r="134" spans="1:11" s="66" customFormat="1" ht="39" customHeight="1">
      <c r="A134" s="385">
        <f>'HỢP ĐỒNG'!A138</f>
        <v>120</v>
      </c>
      <c r="B134" s="356" t="s">
        <v>414</v>
      </c>
      <c r="C134" s="387">
        <f>'HỢP ĐỒNG'!I138</f>
        <v>84313120</v>
      </c>
      <c r="D134" s="38" t="str">
        <f>'HỢP ĐỒNG'!D138</f>
        <v>PCE</v>
      </c>
      <c r="E134" s="67">
        <f>'HỢP ĐỒNG'!E138</f>
        <v>200</v>
      </c>
      <c r="F134" s="329">
        <f>'HỢP ĐỒNG'!F138</f>
        <v>1.39</v>
      </c>
      <c r="G134" s="322">
        <f>F134*E134</f>
        <v>278</v>
      </c>
      <c r="H134" s="142"/>
      <c r="I134" s="154"/>
      <c r="K134" s="231"/>
    </row>
    <row r="135" spans="1:11" s="66" customFormat="1" ht="39" customHeight="1">
      <c r="A135" s="385">
        <f>'HỢP ĐỒNG'!A139</f>
        <v>121</v>
      </c>
      <c r="B135" s="356" t="s">
        <v>414</v>
      </c>
      <c r="C135" s="387">
        <f>'HỢP ĐỒNG'!I139</f>
        <v>84313120</v>
      </c>
      <c r="D135" s="38" t="str">
        <f>'HỢP ĐỒNG'!D139</f>
        <v>PCE</v>
      </c>
      <c r="E135" s="67">
        <f>'HỢP ĐỒNG'!E139</f>
        <v>150</v>
      </c>
      <c r="F135" s="329">
        <f>'HỢP ĐỒNG'!F139</f>
        <v>2.0699999999999998</v>
      </c>
      <c r="G135" s="322">
        <f>F135*E135</f>
        <v>310.5</v>
      </c>
      <c r="H135" s="142"/>
      <c r="I135" s="154"/>
      <c r="K135" s="231"/>
    </row>
    <row r="136" spans="1:11" s="66" customFormat="1" ht="39" customHeight="1">
      <c r="A136" s="385">
        <f>'HỢP ĐỒNG'!A140</f>
        <v>122</v>
      </c>
      <c r="B136" s="389" t="s">
        <v>415</v>
      </c>
      <c r="C136" s="384">
        <f>'HỢP ĐỒNG'!I140</f>
        <v>67029090</v>
      </c>
      <c r="D136" s="38" t="str">
        <f>'HỢP ĐỒNG'!D140</f>
        <v>PCE</v>
      </c>
      <c r="E136" s="67">
        <f>'HỢP ĐỒNG'!E140</f>
        <v>10000</v>
      </c>
      <c r="F136" s="329">
        <f>'HỢP ĐỒNG'!F140</f>
        <v>7.4999999999999997E-2</v>
      </c>
      <c r="G136" s="322">
        <f>F136*E136</f>
        <v>750</v>
      </c>
      <c r="H136" s="391"/>
      <c r="I136" s="154"/>
      <c r="K136" s="231"/>
    </row>
    <row r="137" spans="1:11" s="66" customFormat="1" ht="39" customHeight="1">
      <c r="A137" s="385">
        <f>'HỢP ĐỒNG'!A141</f>
        <v>123</v>
      </c>
      <c r="B137" s="356" t="s">
        <v>416</v>
      </c>
      <c r="C137" s="384">
        <f>'HỢP ĐỒNG'!I141</f>
        <v>48119093</v>
      </c>
      <c r="D137" s="38" t="str">
        <f>'HỢP ĐỒNG'!D141</f>
        <v>KGM</v>
      </c>
      <c r="E137" s="67">
        <f>'HỢP ĐỒNG'!E141</f>
        <v>398</v>
      </c>
      <c r="F137" s="329">
        <f>'HỢP ĐỒNG'!F141</f>
        <v>0.8</v>
      </c>
      <c r="G137" s="322">
        <f t="shared" ref="G137:G138" si="2">F137*E137</f>
        <v>318.40000000000003</v>
      </c>
      <c r="H137" s="388"/>
      <c r="I137" s="154"/>
      <c r="K137" s="231"/>
    </row>
    <row r="138" spans="1:11" s="66" customFormat="1" ht="39" customHeight="1">
      <c r="A138" s="385">
        <f>'HỢP ĐỒNG'!A142</f>
        <v>124</v>
      </c>
      <c r="B138" s="356" t="s">
        <v>417</v>
      </c>
      <c r="C138" s="384">
        <f>'HỢP ĐỒNG'!I142</f>
        <v>84242029</v>
      </c>
      <c r="D138" s="38" t="str">
        <f>'HỢP ĐỒNG'!D142</f>
        <v>PCE</v>
      </c>
      <c r="E138" s="67">
        <f>'HỢP ĐỒNG'!E142</f>
        <v>2</v>
      </c>
      <c r="F138" s="329">
        <f>'HỢP ĐỒNG'!F142</f>
        <v>1884.87</v>
      </c>
      <c r="G138" s="322">
        <f t="shared" si="2"/>
        <v>3769.74</v>
      </c>
      <c r="H138" s="388"/>
      <c r="I138" s="154"/>
      <c r="K138" s="231"/>
    </row>
    <row r="139" spans="1:11" s="126" customFormat="1">
      <c r="A139" s="386"/>
      <c r="B139" s="390"/>
      <c r="C139" s="445" t="s">
        <v>418</v>
      </c>
      <c r="D139" s="445"/>
      <c r="E139" s="445"/>
      <c r="F139" s="445"/>
      <c r="G139" s="445"/>
      <c r="H139" s="445"/>
      <c r="I139" s="154"/>
    </row>
    <row r="140" spans="1:11">
      <c r="B140" s="356"/>
      <c r="I140" s="154"/>
    </row>
  </sheetData>
  <autoFilter ref="A14:I139" xr:uid="{21C9CB6A-0AE6-48CE-A904-F162ABAAEBAB}"/>
  <mergeCells count="6">
    <mergeCell ref="C3:D3"/>
    <mergeCell ref="A1:G1"/>
    <mergeCell ref="C4:D4"/>
    <mergeCell ref="C139:H139"/>
    <mergeCell ref="C5:D5"/>
    <mergeCell ref="A7:I7"/>
  </mergeCells>
  <phoneticPr fontId="24" type="noConversion"/>
  <dataValidations count="1">
    <dataValidation type="textLength" errorStyle="warning" operator="lessThanOrEqual" showInputMessage="1" showErrorMessage="1" errorTitle="KIỂM TRA!!" error="Quá 200 ký tự" sqref="I15:I140" xr:uid="{DBF74225-BF04-4AE0-A3D0-89D41EEB99D0}">
      <formula1>201</formula1>
    </dataValidation>
  </dataValidations>
  <pageMargins left="0.36" right="0.27" top="0.25" bottom="0.25" header="0" footer="0"/>
  <pageSetup paperSize="9"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40D28-33F6-4142-AE6E-82F8ACE2382E}">
  <sheetPr codeName="Sheet7"/>
  <dimension ref="A1:N18"/>
  <sheetViews>
    <sheetView workbookViewId="0">
      <selection activeCell="L4" sqref="L4"/>
    </sheetView>
  </sheetViews>
  <sheetFormatPr defaultRowHeight="12.75"/>
  <cols>
    <col min="1" max="1" width="12" bestFit="1" customWidth="1"/>
    <col min="2" max="2" width="15.28515625" customWidth="1"/>
    <col min="3" max="5" width="2.140625" bestFit="1" customWidth="1"/>
    <col min="6" max="6" width="4.85546875" bestFit="1" customWidth="1"/>
    <col min="7" max="7" width="5.28515625" bestFit="1" customWidth="1"/>
    <col min="8" max="8" width="4.7109375" bestFit="1" customWidth="1"/>
    <col min="9" max="9" width="4.85546875" bestFit="1" customWidth="1"/>
    <col min="10" max="10" width="5.28515625" bestFit="1" customWidth="1"/>
    <col min="11" max="11" width="5" bestFit="1" customWidth="1"/>
    <col min="12" max="12" width="4.85546875" bestFit="1" customWidth="1"/>
    <col min="13" max="13" width="5.28515625" bestFit="1" customWidth="1"/>
    <col min="14" max="14" width="4" bestFit="1" customWidth="1"/>
  </cols>
  <sheetData>
    <row r="1" spans="1:14" ht="14.25">
      <c r="A1" s="39">
        <f>IF(ROUND('HỢP ĐỒNG'!G143,0)&gt;'HỢP ĐỒNG'!G143,'HỢP ĐỒNG'!G143-1,'HỢP ĐỒNG'!G143)</f>
        <v>193171.09</v>
      </c>
      <c r="B1" s="40" t="str">
        <f>RIGHT("000000000000"&amp;ROUND(A1,0),12)</f>
        <v>000000193171</v>
      </c>
      <c r="C1" s="41">
        <v>1</v>
      </c>
      <c r="D1" s="41">
        <v>2</v>
      </c>
      <c r="E1" s="41">
        <v>3</v>
      </c>
      <c r="F1" s="42">
        <v>4</v>
      </c>
      <c r="G1" s="42">
        <v>5</v>
      </c>
      <c r="H1" s="42">
        <v>6</v>
      </c>
      <c r="I1" s="43">
        <v>7</v>
      </c>
      <c r="J1" s="43">
        <v>8</v>
      </c>
      <c r="K1" s="43">
        <v>9</v>
      </c>
      <c r="L1" s="44">
        <v>10</v>
      </c>
      <c r="M1" s="44">
        <v>11</v>
      </c>
      <c r="N1" s="44">
        <v>12</v>
      </c>
    </row>
    <row r="2" spans="1:14" ht="15">
      <c r="A2" s="45"/>
      <c r="B2" s="46"/>
      <c r="C2" s="47">
        <f>VALUE(MID(B1,C1,1))</f>
        <v>0</v>
      </c>
      <c r="D2" s="47">
        <f>VALUE(MID(B1,D1,1))</f>
        <v>0</v>
      </c>
      <c r="E2" s="47">
        <f>VALUE(MID(B1,E1,1))</f>
        <v>0</v>
      </c>
      <c r="F2" s="48">
        <f>VALUE(MID(B1,F1,1))</f>
        <v>0</v>
      </c>
      <c r="G2" s="48">
        <f>VALUE(MID(B1,G1,1))</f>
        <v>0</v>
      </c>
      <c r="H2" s="48">
        <f>VALUE(MID(B1,H1,1))</f>
        <v>0</v>
      </c>
      <c r="I2" s="49">
        <f>VALUE(MID(B1,I1,1))</f>
        <v>1</v>
      </c>
      <c r="J2" s="49">
        <f>VALUE(MID(B1,J1,1))</f>
        <v>9</v>
      </c>
      <c r="K2" s="49">
        <f>VALUE(MID(B1,K1,1))</f>
        <v>3</v>
      </c>
      <c r="L2" s="50">
        <f>VALUE(MID(B1,L1,1))</f>
        <v>1</v>
      </c>
      <c r="M2" s="50">
        <f>VALUE(MID(B1,M1,1))</f>
        <v>7</v>
      </c>
      <c r="N2" s="50">
        <f>VALUE(MID(B1,N1,1))</f>
        <v>1</v>
      </c>
    </row>
    <row r="3" spans="1:14" ht="15">
      <c r="A3" s="45"/>
      <c r="B3" s="46"/>
      <c r="C3" s="47">
        <f>SUM(C2:C2)</f>
        <v>0</v>
      </c>
      <c r="D3" s="47">
        <f>SUM(C2:D2)</f>
        <v>0</v>
      </c>
      <c r="E3" s="47">
        <f>SUM(C2:E2)</f>
        <v>0</v>
      </c>
      <c r="F3" s="48">
        <f>SUM(F2:F2)</f>
        <v>0</v>
      </c>
      <c r="G3" s="48">
        <f>SUM(F2:G2)</f>
        <v>0</v>
      </c>
      <c r="H3" s="48">
        <f>SUM(F2:H2)</f>
        <v>0</v>
      </c>
      <c r="I3" s="49">
        <f>SUM(I2:I2)</f>
        <v>1</v>
      </c>
      <c r="J3" s="49">
        <f>SUM(I2:J2)</f>
        <v>10</v>
      </c>
      <c r="K3" s="49">
        <f>SUM(I2:K2)</f>
        <v>13</v>
      </c>
      <c r="L3" s="50">
        <f>SUM(L2:L2)</f>
        <v>1</v>
      </c>
      <c r="M3" s="50">
        <f>SUM(L2:M2)</f>
        <v>8</v>
      </c>
      <c r="N3" s="50">
        <f>SUM(L2:N2)</f>
        <v>9</v>
      </c>
    </row>
    <row r="4" spans="1:14" ht="15">
      <c r="A4" s="51"/>
      <c r="B4" s="46"/>
      <c r="C4" s="52" t="str">
        <f>IF(C2=0,"",CHOOSE(C2,"một","hai","ba","bốn","năm","sáu","bảy","tám","chín"))</f>
        <v/>
      </c>
      <c r="D4" s="52" t="str">
        <f>IF(D2=0,IF(AND(C2&lt;&gt;0,E2&lt;&gt;0),"lẻ",""),CHOOSE(D2,"mười","hai","ba","bốn","năm","sáu","bảy","tám","chín"))</f>
        <v/>
      </c>
      <c r="E4" s="52" t="str">
        <f>IF(E2=0,"",CHOOSE(E2,IF(D2&gt;1,"mốt","một"),"hai","ba","bốn",IF(D2=0,"năm","lăm"),"sáu","bảy","tám","chín"))</f>
        <v/>
      </c>
      <c r="F4" s="53" t="str">
        <f>IF(F2=0,"",CHOOSE(F2,"một","hai","ba","bốn","năm","sáu","bảy","tám","chín"))</f>
        <v/>
      </c>
      <c r="G4" s="53" t="str">
        <f>IF(G2=0,IF(AND(F2&lt;&gt;0,H2&lt;&gt;0),"lẻ",""),CHOOSE(G2,"mười","hai","ba","bốn","năm","sáu","bảy","tám","chín"))</f>
        <v/>
      </c>
      <c r="H4" s="53" t="str">
        <f>IF(H2=0,"",CHOOSE(H2,IF(G2&gt;1,"mốt","một"),"hai","ba","bốn",IF(G2=0,"năm","lăm"),"sáu","bảy","tám","chín"))</f>
        <v/>
      </c>
      <c r="I4" s="54" t="str">
        <f>IF(I2=0,"",CHOOSE(I2,"một","hai","ba","bốn","năm","sáu","bảy","tám","chín"))</f>
        <v>một</v>
      </c>
      <c r="J4" s="54" t="str">
        <f>IF(J2=0,IF(AND(I2&lt;&gt;0,K2&lt;&gt;0),"lẻ",""),CHOOSE(J2,"mười","hai","ba","bốn","năm","sáu","bảy","tám","chín"))</f>
        <v>chín</v>
      </c>
      <c r="K4" s="54" t="str">
        <f>IF(K2=0,"",CHOOSE(K2,IF(J2&gt;1,"mốt","một"),"hai","ba","bốn",IF(J2=0,"năm","lăm"),"sáu","bảy","tám","chín"))</f>
        <v>ba</v>
      </c>
      <c r="L4" s="55" t="str">
        <f>IF(L2=0,IF(A1&gt;100,"không trăm"," "),CHOOSE(L2,"một","hai","ba","bốn","năm","sáu","bảy","tám","chín"))</f>
        <v>một</v>
      </c>
      <c r="M4" s="55" t="str">
        <f>IF(M2=0,IF(AND(L2&lt;&gt;0,N2&lt;&gt;0),"lẻ",""),CHOOSE(M2,"mười","hai","ba","bốn","năm","sáu","bảy","tám","chín"))</f>
        <v>bảy</v>
      </c>
      <c r="N4" s="55" t="str">
        <f>IF(N2=0,"",CHOOSE(N2,IF(M2&gt;1,"mốt","một"),"hai","ba","bốn",IF(M2=0,"năm","lăm"),"sáu","bảy","tám","chín"))</f>
        <v>mốt</v>
      </c>
    </row>
    <row r="5" spans="1:14" ht="15">
      <c r="A5" s="45"/>
      <c r="B5" s="46"/>
      <c r="C5" s="56" t="str">
        <f>IF(C2=0,"","trăm")</f>
        <v/>
      </c>
      <c r="D5" s="56" t="str">
        <f>IF(D2=0,"",IF(D2=1,"","mươi"))</f>
        <v/>
      </c>
      <c r="E5" s="56" t="str">
        <f>IF(AND(E2=0,E3=0),"","tỷ")</f>
        <v/>
      </c>
      <c r="F5" s="57" t="str">
        <f>IF(F2=0,"","trăm")</f>
        <v/>
      </c>
      <c r="G5" s="57" t="str">
        <f>IF(G2=0,"",IF(G2=1,"","mươi"))</f>
        <v/>
      </c>
      <c r="H5" s="57" t="str">
        <f>IF(AND(H2=0,H3=0),"","triệu")</f>
        <v/>
      </c>
      <c r="I5" s="58" t="str">
        <f>IF(I2=0,"","trăm")</f>
        <v>trăm</v>
      </c>
      <c r="J5" s="58" t="str">
        <f>IF(J2=0,"",IF(J2=1,"","mươi"))</f>
        <v>mươi</v>
      </c>
      <c r="K5" s="58" t="str">
        <f>IF(AND(K2=0,K3=0),"","nghìn")</f>
        <v>nghìn</v>
      </c>
      <c r="L5" s="59" t="str">
        <f>IF(L2=0,"","trăm")</f>
        <v>trăm</v>
      </c>
      <c r="M5" s="59" t="str">
        <f>IF(M2=0,"",IF(M2=1,"","mươi"))</f>
        <v>mươi</v>
      </c>
      <c r="N5" s="59"/>
    </row>
    <row r="6" spans="1:14" ht="15">
      <c r="A6" s="45"/>
      <c r="B6" s="60" t="str">
        <f>UPPER(LEFT(TRIM(IF(A1=0,"không ",C4&amp;" "&amp;C5&amp;" "&amp;D4&amp;" "&amp;D5&amp;" "&amp;E4&amp;" "&amp;E5&amp;" "&amp;F4&amp;" "&amp;F5&amp;" "&amp;G4&amp;" "&amp;G5&amp;" "&amp;H4&amp;" "&amp;H5&amp;" "&amp;I4&amp;" "&amp;I5&amp;" "&amp;J4&amp;" "&amp;J5&amp;" "&amp;K4&amp;" "&amp;K5&amp;" "&amp;L4&amp;" "&amp;L5&amp;" "&amp;M4&amp;" "&amp;M5&amp;" "&amp;N4&amp;" "&amp;N5)),1))&amp;RIGHT(TRIM(IF(A1=0,"không ",C4&amp;" "&amp;C5&amp;" "&amp;D4&amp;" "&amp;D5&amp;" "&amp;E4&amp;" "&amp;E5&amp;" "&amp;F4&amp;" "&amp;F5&amp;" "&amp;G4&amp;" "&amp;G5&amp;" "&amp;H4&amp;" "&amp;H5&amp;" "&amp;I4&amp;" "&amp;I5&amp;" "&amp;J4&amp;" "&amp;J5&amp;" "&amp;K4&amp;" "&amp;K5&amp;" "&amp;L4&amp;" "&amp;L5&amp;" "&amp;M4&amp;" "&amp;M5&amp;" "&amp;N4&amp;" "&amp;N5)),LEN(TRIM(IF(A1=0,"không ",C4&amp;" "&amp;C5&amp;" "&amp;D4&amp;" "&amp;D5&amp;" "&amp;E4&amp;" "&amp;E5&amp;" "&amp;F4&amp;" "&amp;F5&amp;" "&amp;G4&amp;" "&amp;G5&amp;" "&amp;H4&amp;" "&amp;H5&amp;" "&amp;I4&amp;" "&amp;I5&amp;" "&amp;J4&amp;" "&amp;J5&amp;" "&amp;K4&amp;" "&amp;K5&amp;" "&amp;L4&amp;" "&amp;L5&amp;" "&amp;M4&amp;" "&amp;M5&amp;" "&amp;N4&amp;" "&amp;N5)))-1)</f>
        <v>Một trăm chín mươi ba nghìn một trăm bảy mươi mốt</v>
      </c>
      <c r="C6" s="61"/>
      <c r="D6" s="61"/>
      <c r="E6" s="61"/>
      <c r="F6" s="61"/>
      <c r="G6" s="61"/>
      <c r="H6" s="61"/>
      <c r="I6" s="61"/>
      <c r="J6" s="61"/>
      <c r="K6" s="61"/>
      <c r="L6" s="61"/>
      <c r="M6" s="61"/>
      <c r="N6" s="61"/>
    </row>
    <row r="8" spans="1:14" ht="14.25">
      <c r="A8" s="62">
        <f>MOD(A1,1)*100</f>
        <v>8.999999999650754</v>
      </c>
      <c r="B8" s="40" t="str">
        <f>RIGHT("000000000000"&amp;ROUND(A8,0),12)</f>
        <v>000000000009</v>
      </c>
      <c r="C8" s="41">
        <v>1</v>
      </c>
      <c r="D8" s="41">
        <v>2</v>
      </c>
      <c r="E8" s="41">
        <v>3</v>
      </c>
      <c r="F8" s="42">
        <v>4</v>
      </c>
      <c r="G8" s="42">
        <v>5</v>
      </c>
      <c r="H8" s="42">
        <v>6</v>
      </c>
      <c r="I8" s="43">
        <v>7</v>
      </c>
      <c r="J8" s="43">
        <v>8</v>
      </c>
      <c r="K8" s="43">
        <v>9</v>
      </c>
      <c r="L8" s="44">
        <v>10</v>
      </c>
      <c r="M8" s="44">
        <v>11</v>
      </c>
      <c r="N8" s="44">
        <v>12</v>
      </c>
    </row>
    <row r="9" spans="1:14" ht="15">
      <c r="A9" s="45"/>
      <c r="B9" s="46"/>
      <c r="C9" s="47">
        <f>VALUE(MID(B8,C8,1))</f>
        <v>0</v>
      </c>
      <c r="D9" s="47">
        <f>VALUE(MID(B8,D8,1))</f>
        <v>0</v>
      </c>
      <c r="E9" s="47">
        <f>VALUE(MID(B8,E8,1))</f>
        <v>0</v>
      </c>
      <c r="F9" s="48">
        <f>VALUE(MID(B8,F8,1))</f>
        <v>0</v>
      </c>
      <c r="G9" s="48">
        <f>VALUE(MID(B8,G8,1))</f>
        <v>0</v>
      </c>
      <c r="H9" s="48">
        <f>VALUE(MID(B8,H8,1))</f>
        <v>0</v>
      </c>
      <c r="I9" s="49">
        <f>VALUE(MID(B8,I8,1))</f>
        <v>0</v>
      </c>
      <c r="J9" s="49">
        <f>VALUE(MID(B8,J8,1))</f>
        <v>0</v>
      </c>
      <c r="K9" s="49">
        <f>VALUE(MID(B8,K8,1))</f>
        <v>0</v>
      </c>
      <c r="L9" s="50">
        <f>VALUE(MID(B8,L8,1))</f>
        <v>0</v>
      </c>
      <c r="M9" s="50">
        <f>VALUE(MID(B8,M8,1))</f>
        <v>0</v>
      </c>
      <c r="N9" s="50">
        <f>VALUE(MID(B8,N8,1))</f>
        <v>9</v>
      </c>
    </row>
    <row r="10" spans="1:14" ht="15">
      <c r="A10" s="45"/>
      <c r="B10" s="46"/>
      <c r="C10" s="47">
        <f>SUM(C9:C9)</f>
        <v>0</v>
      </c>
      <c r="D10" s="47">
        <f>SUM(C9:D9)</f>
        <v>0</v>
      </c>
      <c r="E10" s="47">
        <f>SUM(C9:E9)</f>
        <v>0</v>
      </c>
      <c r="F10" s="48">
        <f>SUM(F9:F9)</f>
        <v>0</v>
      </c>
      <c r="G10" s="48">
        <f>SUM(F9:G9)</f>
        <v>0</v>
      </c>
      <c r="H10" s="48">
        <f>SUM(F9:H9)</f>
        <v>0</v>
      </c>
      <c r="I10" s="49">
        <f>SUM(I9:I9)</f>
        <v>0</v>
      </c>
      <c r="J10" s="49">
        <f>SUM(I9:J9)</f>
        <v>0</v>
      </c>
      <c r="K10" s="49">
        <f>SUM(I9:K9)</f>
        <v>0</v>
      </c>
      <c r="L10" s="50">
        <f>SUM(L9:L9)</f>
        <v>0</v>
      </c>
      <c r="M10" s="50">
        <f>SUM(L9:M9)</f>
        <v>0</v>
      </c>
      <c r="N10" s="50">
        <f>SUM(L9:N9)</f>
        <v>9</v>
      </c>
    </row>
    <row r="11" spans="1:14" ht="15">
      <c r="A11" s="51"/>
      <c r="B11" s="46"/>
      <c r="C11" s="52" t="str">
        <f>IF(C9=0,"",CHOOSE(C9,"một","hai","ba","bốn","năm","sáu","bảy","tám","chín"))</f>
        <v/>
      </c>
      <c r="D11" s="52" t="str">
        <f>IF(D9=0,IF(AND(C9&lt;&gt;0,E9&lt;&gt;0),"lẻ",""),CHOOSE(D9,"mười","hai","ba","bốn","năm","sáu","bảy","tám","chín"))</f>
        <v/>
      </c>
      <c r="E11" s="52" t="str">
        <f>IF(E9=0,"",CHOOSE(E9,IF(D9&gt;1,"mốt","một"),"hai","ba","bốn",IF(D9=0,"năm","lăm"),"sáu","bảy","tám","chín"))</f>
        <v/>
      </c>
      <c r="F11" s="53" t="str">
        <f>IF(F9=0,"",CHOOSE(F9,"một","hai","ba","bốn","năm","sáu","bảy","tám","chín"))</f>
        <v/>
      </c>
      <c r="G11" s="53" t="str">
        <f>IF(G9=0,IF(AND(F9&lt;&gt;0,H9&lt;&gt;0),"lẻ",""),CHOOSE(G9,"mười","hai","ba","bốn","năm","sáu","bảy","tám","chín"))</f>
        <v/>
      </c>
      <c r="H11" s="53" t="str">
        <f>IF(H9=0,"",CHOOSE(H9,IF(G9&gt;1,"mốt","một"),"hai","ba","bốn",IF(G9=0,"năm","lăm"),"sáu","bảy","tám","chín"))</f>
        <v/>
      </c>
      <c r="I11" s="54" t="str">
        <f>IF(I9=0,"",CHOOSE(I9,"một","hai","ba","bốn","năm","sáu","bảy","tám","chín"))</f>
        <v/>
      </c>
      <c r="J11" s="54" t="str">
        <f>IF(J9=0,IF(AND(I9&lt;&gt;0,K9&lt;&gt;0),"lẻ",""),CHOOSE(J9,"mười","hai","ba","bốn","năm","sáu","bảy","tám","chín"))</f>
        <v/>
      </c>
      <c r="K11" s="54" t="str">
        <f>IF(K9=0,"",CHOOSE(K9,IF(J9&gt;1,"mốt","một"),"hai","ba","bốn",IF(J9=0,"năm","lăm"),"sáu","bảy","tám","chín"))</f>
        <v/>
      </c>
      <c r="L11" s="55" t="str">
        <f>IF(L9=0,"",CHOOSE(L9,"một","hai","ba","bốn","năm","sáu","bảy","tám","chín"))</f>
        <v/>
      </c>
      <c r="M11" s="55" t="str">
        <f>IF(M9=0,IF(AND(L9&lt;&gt;0,N9&lt;&gt;0),"lẻ",""),CHOOSE(M9,"mười","hai","ba","bốn","năm","sáu","bảy","tám","chín"))</f>
        <v/>
      </c>
      <c r="N11" s="55" t="str">
        <f>IF(N9=0,"",CHOOSE(N9,IF(M9&gt;1,"mốt","một"),"hai","ba","bốn",IF(M9=0,"năm","lăm"),"sáu","bảy","tám","chín"))</f>
        <v>chín</v>
      </c>
    </row>
    <row r="12" spans="1:14" ht="15">
      <c r="A12" s="45"/>
      <c r="B12" s="46"/>
      <c r="C12" s="56" t="str">
        <f>IF(C9=0,"","trăm")</f>
        <v/>
      </c>
      <c r="D12" s="56" t="str">
        <f>IF(D9=0,"",IF(D9=1,"","mươi"))</f>
        <v/>
      </c>
      <c r="E12" s="56" t="str">
        <f>IF(AND(E9=0,E10=0),"","tỷ")</f>
        <v/>
      </c>
      <c r="F12" s="57" t="str">
        <f>IF(F9=0,"","trăm")</f>
        <v/>
      </c>
      <c r="G12" s="57" t="str">
        <f>IF(G9=0,"",IF(G9=1,"","mươi"))</f>
        <v/>
      </c>
      <c r="H12" s="57" t="str">
        <f>IF(AND(H9=0,H10=0),"","triệu")</f>
        <v/>
      </c>
      <c r="I12" s="58" t="str">
        <f>IF(I9=0,"","trăm")</f>
        <v/>
      </c>
      <c r="J12" s="58" t="str">
        <f>IF(J9=0,"",IF(J9=1,"","mươi"))</f>
        <v/>
      </c>
      <c r="K12" s="58" t="str">
        <f>IF(AND(K9=0,K10=0),"","nghìn")</f>
        <v/>
      </c>
      <c r="L12" s="59" t="str">
        <f>IF(L9=0,"","trăm")</f>
        <v/>
      </c>
      <c r="M12" s="59" t="str">
        <f>IF(M9=0,"",IF(M9=1,"","mươi"))</f>
        <v/>
      </c>
      <c r="N12" s="59"/>
    </row>
    <row r="13" spans="1:14" ht="15">
      <c r="A13" s="45"/>
      <c r="B13" s="60" t="str">
        <f>LEFT(TRIM(IF(A8=0,"không đồng.",C11&amp;" "&amp;C12&amp;" "&amp;D11&amp;" "&amp;D12&amp;" "&amp;E11&amp;" "&amp;E12&amp;" "&amp;F11&amp;" "&amp;F12&amp;" "&amp;G11&amp;" "&amp;G12&amp;" "&amp;H11&amp;" "&amp;H12&amp;" "&amp;I11&amp;" "&amp;I12&amp;" "&amp;J11&amp;" "&amp;J12&amp;" "&amp;K11&amp;" "&amp;K12&amp;" "&amp;L11&amp;" "&amp;L12&amp;" "&amp;M11&amp;" "&amp;M12&amp;" "&amp;N11&amp;" "&amp;N12)),1)&amp;RIGHT(TRIM(IF(A8=0,"không đồng.",C11&amp;" "&amp;C12&amp;" "&amp;D11&amp;" "&amp;D12&amp;" "&amp;E11&amp;" "&amp;E12&amp;" "&amp;F11&amp;" "&amp;F12&amp;" "&amp;G11&amp;" "&amp;G12&amp;" "&amp;H11&amp;" "&amp;H12&amp;" "&amp;I11&amp;" "&amp;I12&amp;" "&amp;J11&amp;" "&amp;J12&amp;" "&amp;K11&amp;" "&amp;K12&amp;" "&amp;L11&amp;" "&amp;L12&amp;" "&amp;M11&amp;" "&amp;M12&amp;" "&amp;N11&amp;" "&amp;N12)),LEN(TRIM(IF(A8=0,"không đồng.",C11&amp;" "&amp;C12&amp;" "&amp;D11&amp;" "&amp;D12&amp;" "&amp;E11&amp;" "&amp;E12&amp;" "&amp;F11&amp;" "&amp;F12&amp;" "&amp;G11&amp;" "&amp;G12&amp;" "&amp;H11&amp;" "&amp;H12&amp;" "&amp;I11&amp;" "&amp;I12&amp;" "&amp;J11&amp;" "&amp;J12&amp;" "&amp;K11&amp;" "&amp;K12&amp;" "&amp;L11&amp;" "&amp;L12&amp;" "&amp;M11&amp;" "&amp;M12&amp;" "&amp;N11&amp;" "&amp;N12)))-1)</f>
        <v>chín</v>
      </c>
      <c r="C13" s="61"/>
      <c r="D13" s="61"/>
      <c r="E13" s="61"/>
      <c r="F13" s="61"/>
      <c r="G13" s="61"/>
      <c r="H13" s="61"/>
      <c r="I13" s="61"/>
      <c r="J13" s="61"/>
      <c r="K13" s="61"/>
      <c r="L13" s="61"/>
      <c r="M13" s="61"/>
      <c r="N13" s="61"/>
    </row>
    <row r="15" spans="1:14">
      <c r="B15" t="str">
        <f>IF(A8&lt;&gt;0,"Số tiền bằng chữ: "&amp;B6&amp;" Đô la Mỹ và "&amp;B13&amp;" cent./.","Số tiền bằng chữ: "&amp;B6&amp;" Đô la Mỹ./.")</f>
        <v>Số tiền bằng chữ: Một trăm chín mươi ba nghìn một trăm bảy mươi mốt Đô la Mỹ và chín cent./.</v>
      </c>
    </row>
    <row r="18" spans="2:2">
      <c r="B18" s="63"/>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94311-1A1D-4123-88FC-D5AB15BF7773}">
  <dimension ref="A1:I65"/>
  <sheetViews>
    <sheetView zoomScale="84" zoomScaleNormal="84" workbookViewId="0">
      <selection activeCell="F56" sqref="F56:F62"/>
    </sheetView>
  </sheetViews>
  <sheetFormatPr defaultRowHeight="12.75"/>
  <cols>
    <col min="2" max="2" width="10.7109375" customWidth="1"/>
    <col min="3" max="3" width="71.5703125" customWidth="1"/>
    <col min="4" max="4" width="9.140625" style="132" customWidth="1"/>
    <col min="5" max="5" width="12.42578125" style="132" customWidth="1"/>
    <col min="6" max="6" width="20.5703125" style="132" customWidth="1"/>
    <col min="7" max="7" width="9.140625" style="132" customWidth="1"/>
    <col min="8" max="8" width="19.140625" style="132" customWidth="1"/>
    <col min="9" max="9" width="17" style="132" customWidth="1"/>
  </cols>
  <sheetData>
    <row r="1" spans="1:9" s="127" customFormat="1" ht="24.75" customHeight="1">
      <c r="A1" s="127" t="str">
        <f>'HỢP ĐỒNG'!A18</f>
        <v>STT</v>
      </c>
      <c r="B1" s="127" t="str">
        <f>'HỢP ĐỒNG'!B18</f>
        <v>Mã Hàng</v>
      </c>
      <c r="C1" s="127" t="str">
        <f>'HỢP ĐỒNG'!C18</f>
        <v>Tên hàng hóa</v>
      </c>
      <c r="D1" s="127" t="str">
        <f>'HỢP ĐỒNG'!D18</f>
        <v>ĐVT</v>
      </c>
      <c r="E1" s="127" t="str">
        <f>'HỢP ĐỒNG'!E18</f>
        <v>Số 
lượng</v>
      </c>
      <c r="F1" s="127" t="str">
        <f>PACKINGLIST!E12</f>
        <v>Quy cách
đóng gói</v>
      </c>
      <c r="G1" s="127" t="str">
        <f>PACKINGLIST!F12</f>
        <v>Số
 kiện</v>
      </c>
      <c r="H1" s="127" t="str">
        <f>PACKINGLIST!G12</f>
        <v>Trọng lượng hàng</v>
      </c>
      <c r="I1" s="127" t="str">
        <f>PACKINGLIST!H12</f>
        <v>Trọng lượng cả bì</v>
      </c>
    </row>
    <row r="2" spans="1:9" s="121" customFormat="1" ht="25.5">
      <c r="A2" s="121">
        <f>'HỢP ĐỒNG'!A19</f>
        <v>1</v>
      </c>
      <c r="B2" s="121" t="str">
        <f>'HỢP ĐỒNG'!B19</f>
        <v>CN082822-10HN</v>
      </c>
      <c r="C2" s="141" t="str">
        <f>'HỢP ĐỒNG'!C19</f>
        <v>Khăn lau bụi dùng để lau xe hơi, chất liệu vải dệt kim từ sợi polyester, KT:(30*30)cm, không hiệu, NSX: Qingdao Tao Hui Industrial. Mới 100%</v>
      </c>
      <c r="D2" s="121" t="str">
        <f>'HỢP ĐỒNG'!D19</f>
        <v>PCE</v>
      </c>
      <c r="E2" s="122">
        <f>'HỢP ĐỒNG'!E19</f>
        <v>20000</v>
      </c>
      <c r="F2" s="131" t="str">
        <f>PACKINGLIST!E13</f>
        <v xml:space="preserve"> PCE / Kiện</v>
      </c>
      <c r="G2" s="131">
        <f>PACKINGLIST!F13</f>
        <v>10</v>
      </c>
      <c r="H2" s="122">
        <f>PACKINGLIST!G13</f>
        <v>280</v>
      </c>
      <c r="I2" s="122">
        <f>PACKINGLIST!H13</f>
        <v>300</v>
      </c>
    </row>
    <row r="3" spans="1:9" s="121" customFormat="1">
      <c r="A3" s="121" t="e">
        <f>'HỢP ĐỒNG'!#REF!</f>
        <v>#REF!</v>
      </c>
      <c r="B3" s="121" t="e">
        <f>'HỢP ĐỒNG'!#REF!</f>
        <v>#REF!</v>
      </c>
      <c r="C3" s="141" t="e">
        <f>'HỢP ĐỒNG'!#REF!</f>
        <v>#REF!</v>
      </c>
      <c r="D3" s="121" t="e">
        <f>'HỢP ĐỒNG'!#REF!</f>
        <v>#REF!</v>
      </c>
      <c r="E3" s="122" t="e">
        <f>'HỢP ĐỒNG'!#REF!</f>
        <v>#REF!</v>
      </c>
      <c r="F3" s="131" t="e">
        <f>PACKINGLIST!#REF!</f>
        <v>#REF!</v>
      </c>
      <c r="G3" s="131" t="e">
        <f>PACKINGLIST!#REF!</f>
        <v>#REF!</v>
      </c>
      <c r="H3" s="122" t="e">
        <f>PACKINGLIST!#REF!</f>
        <v>#REF!</v>
      </c>
      <c r="I3" s="122" t="e">
        <f>PACKINGLIST!#REF!</f>
        <v>#REF!</v>
      </c>
    </row>
    <row r="4" spans="1:9" s="121" customFormat="1">
      <c r="A4" s="121" t="e">
        <f>'HỢP ĐỒNG'!#REF!</f>
        <v>#REF!</v>
      </c>
      <c r="B4" s="121" t="e">
        <f>'HỢP ĐỒNG'!#REF!</f>
        <v>#REF!</v>
      </c>
      <c r="C4" s="141" t="e">
        <f>'HỢP ĐỒNG'!#REF!</f>
        <v>#REF!</v>
      </c>
      <c r="D4" s="121" t="e">
        <f>'HỢP ĐỒNG'!#REF!</f>
        <v>#REF!</v>
      </c>
      <c r="E4" s="122" t="e">
        <f>'HỢP ĐỒNG'!#REF!</f>
        <v>#REF!</v>
      </c>
      <c r="F4" s="450" t="e">
        <f>PACKINGLIST!#REF!</f>
        <v>#REF!</v>
      </c>
      <c r="G4" s="450" t="e">
        <f>PACKINGLIST!#REF!</f>
        <v>#REF!</v>
      </c>
      <c r="H4" s="122" t="e">
        <f>PACKINGLIST!#REF!</f>
        <v>#REF!</v>
      </c>
      <c r="I4" s="122" t="e">
        <f>PACKINGLIST!#REF!</f>
        <v>#REF!</v>
      </c>
    </row>
    <row r="5" spans="1:9" s="121" customFormat="1">
      <c r="A5" s="121" t="e">
        <f>'HỢP ĐỒNG'!#REF!</f>
        <v>#REF!</v>
      </c>
      <c r="B5" s="121" t="e">
        <f>'HỢP ĐỒNG'!#REF!</f>
        <v>#REF!</v>
      </c>
      <c r="C5" s="141" t="e">
        <f>'HỢP ĐỒNG'!#REF!</f>
        <v>#REF!</v>
      </c>
      <c r="D5" s="121" t="e">
        <f>'HỢP ĐỒNG'!#REF!</f>
        <v>#REF!</v>
      </c>
      <c r="E5" s="122" t="e">
        <f>'HỢP ĐỒNG'!#REF!</f>
        <v>#REF!</v>
      </c>
      <c r="F5" s="451"/>
      <c r="G5" s="451"/>
      <c r="H5" s="122" t="e">
        <f>PACKINGLIST!#REF!</f>
        <v>#REF!</v>
      </c>
      <c r="I5" s="122" t="e">
        <f>PACKINGLIST!#REF!</f>
        <v>#REF!</v>
      </c>
    </row>
    <row r="6" spans="1:9" s="121" customFormat="1">
      <c r="A6" s="121" t="e">
        <f>'HỢP ĐỒNG'!#REF!</f>
        <v>#REF!</v>
      </c>
      <c r="B6" s="121" t="e">
        <f>'HỢP ĐỒNG'!#REF!</f>
        <v>#REF!</v>
      </c>
      <c r="C6" s="141" t="e">
        <f>'HỢP ĐỒNG'!#REF!</f>
        <v>#REF!</v>
      </c>
      <c r="D6" s="121" t="e">
        <f>'HỢP ĐỒNG'!#REF!</f>
        <v>#REF!</v>
      </c>
      <c r="E6" s="122" t="e">
        <f>'HỢP ĐỒNG'!#REF!</f>
        <v>#REF!</v>
      </c>
      <c r="F6" s="452"/>
      <c r="G6" s="452"/>
      <c r="H6" s="122" t="e">
        <f>PACKINGLIST!#REF!</f>
        <v>#REF!</v>
      </c>
      <c r="I6" s="122" t="e">
        <f>PACKINGLIST!#REF!</f>
        <v>#REF!</v>
      </c>
    </row>
    <row r="7" spans="1:9" s="121" customFormat="1">
      <c r="A7" s="121" t="e">
        <f>'HỢP ĐỒNG'!#REF!</f>
        <v>#REF!</v>
      </c>
      <c r="B7" s="121" t="e">
        <f>'HỢP ĐỒNG'!#REF!</f>
        <v>#REF!</v>
      </c>
      <c r="C7" s="141" t="e">
        <f>'HỢP ĐỒNG'!#REF!</f>
        <v>#REF!</v>
      </c>
      <c r="D7" s="121" t="e">
        <f>'HỢP ĐỒNG'!#REF!</f>
        <v>#REF!</v>
      </c>
      <c r="E7" s="122" t="e">
        <f>'HỢP ĐỒNG'!#REF!</f>
        <v>#REF!</v>
      </c>
      <c r="F7" s="131" t="e">
        <f>PACKINGLIST!#REF!</f>
        <v>#REF!</v>
      </c>
      <c r="G7" s="131" t="e">
        <f>PACKINGLIST!#REF!</f>
        <v>#REF!</v>
      </c>
      <c r="H7" s="122" t="e">
        <f>PACKINGLIST!#REF!</f>
        <v>#REF!</v>
      </c>
      <c r="I7" s="122" t="e">
        <f>PACKINGLIST!#REF!</f>
        <v>#REF!</v>
      </c>
    </row>
    <row r="8" spans="1:9" s="121" customFormat="1">
      <c r="A8" s="121" t="e">
        <f>'HỢP ĐỒNG'!#REF!</f>
        <v>#REF!</v>
      </c>
      <c r="B8" s="121" t="e">
        <f>'HỢP ĐỒNG'!#REF!</f>
        <v>#REF!</v>
      </c>
      <c r="C8" s="141" t="e">
        <f>'HỢP ĐỒNG'!#REF!</f>
        <v>#REF!</v>
      </c>
      <c r="D8" s="121" t="e">
        <f>'HỢP ĐỒNG'!#REF!</f>
        <v>#REF!</v>
      </c>
      <c r="E8" s="122" t="e">
        <f>'HỢP ĐỒNG'!#REF!</f>
        <v>#REF!</v>
      </c>
      <c r="F8" s="131" t="e">
        <f>PACKINGLIST!#REF!</f>
        <v>#REF!</v>
      </c>
      <c r="G8" s="131" t="e">
        <f>PACKINGLIST!#REF!</f>
        <v>#REF!</v>
      </c>
      <c r="H8" s="122" t="e">
        <f>PACKINGLIST!#REF!</f>
        <v>#REF!</v>
      </c>
      <c r="I8" s="122" t="e">
        <f>PACKINGLIST!#REF!</f>
        <v>#REF!</v>
      </c>
    </row>
    <row r="9" spans="1:9" s="121" customFormat="1">
      <c r="A9" s="121" t="e">
        <f>'HỢP ĐỒNG'!#REF!</f>
        <v>#REF!</v>
      </c>
      <c r="B9" s="121" t="e">
        <f>'HỢP ĐỒNG'!#REF!</f>
        <v>#REF!</v>
      </c>
      <c r="C9" s="141" t="e">
        <f>'HỢP ĐỒNG'!#REF!</f>
        <v>#REF!</v>
      </c>
      <c r="D9" s="121" t="e">
        <f>'HỢP ĐỒNG'!#REF!</f>
        <v>#REF!</v>
      </c>
      <c r="E9" s="122" t="e">
        <f>'HỢP ĐỒNG'!#REF!</f>
        <v>#REF!</v>
      </c>
      <c r="F9" s="131" t="e">
        <f>PACKINGLIST!#REF!</f>
        <v>#REF!</v>
      </c>
      <c r="G9" s="131" t="e">
        <f>PACKINGLIST!#REF!</f>
        <v>#REF!</v>
      </c>
      <c r="H9" s="122" t="e">
        <f>PACKINGLIST!#REF!</f>
        <v>#REF!</v>
      </c>
      <c r="I9" s="122" t="e">
        <f>PACKINGLIST!#REF!</f>
        <v>#REF!</v>
      </c>
    </row>
    <row r="10" spans="1:9" s="121" customFormat="1">
      <c r="A10" s="121" t="e">
        <f>'HỢP ĐỒNG'!#REF!</f>
        <v>#REF!</v>
      </c>
      <c r="B10" s="121" t="e">
        <f>'HỢP ĐỒNG'!#REF!</f>
        <v>#REF!</v>
      </c>
      <c r="C10" s="141" t="e">
        <f>'HỢP ĐỒNG'!#REF!</f>
        <v>#REF!</v>
      </c>
      <c r="D10" s="121" t="e">
        <f>'HỢP ĐỒNG'!#REF!</f>
        <v>#REF!</v>
      </c>
      <c r="E10" s="122" t="e">
        <f>'HỢP ĐỒNG'!#REF!</f>
        <v>#REF!</v>
      </c>
      <c r="F10" s="131" t="e">
        <f>PACKINGLIST!#REF!</f>
        <v>#REF!</v>
      </c>
      <c r="G10" s="131" t="e">
        <f>PACKINGLIST!#REF!</f>
        <v>#REF!</v>
      </c>
      <c r="H10" s="122" t="e">
        <f>PACKINGLIST!#REF!</f>
        <v>#REF!</v>
      </c>
      <c r="I10" s="122" t="e">
        <f>PACKINGLIST!#REF!</f>
        <v>#REF!</v>
      </c>
    </row>
    <row r="11" spans="1:9" s="121" customFormat="1">
      <c r="A11" s="121" t="e">
        <f>'HỢP ĐỒNG'!#REF!</f>
        <v>#REF!</v>
      </c>
      <c r="B11" s="121" t="e">
        <f>'HỢP ĐỒNG'!#REF!</f>
        <v>#REF!</v>
      </c>
      <c r="C11" s="141" t="e">
        <f>'HỢP ĐỒNG'!#REF!</f>
        <v>#REF!</v>
      </c>
      <c r="D11" s="121" t="e">
        <f>'HỢP ĐỒNG'!#REF!</f>
        <v>#REF!</v>
      </c>
      <c r="E11" s="122" t="e">
        <f>'HỢP ĐỒNG'!#REF!</f>
        <v>#REF!</v>
      </c>
      <c r="F11" s="131" t="e">
        <f>PACKINGLIST!#REF!</f>
        <v>#REF!</v>
      </c>
      <c r="G11" s="131" t="e">
        <f>PACKINGLIST!#REF!</f>
        <v>#REF!</v>
      </c>
      <c r="H11" s="122" t="e">
        <f>PACKINGLIST!#REF!</f>
        <v>#REF!</v>
      </c>
      <c r="I11" s="122" t="e">
        <f>PACKINGLIST!#REF!</f>
        <v>#REF!</v>
      </c>
    </row>
    <row r="12" spans="1:9" s="121" customFormat="1">
      <c r="A12" s="121" t="e">
        <f>'HỢP ĐỒNG'!#REF!</f>
        <v>#REF!</v>
      </c>
      <c r="B12" s="121" t="e">
        <f>'HỢP ĐỒNG'!#REF!</f>
        <v>#REF!</v>
      </c>
      <c r="C12" s="141" t="e">
        <f>'HỢP ĐỒNG'!#REF!</f>
        <v>#REF!</v>
      </c>
      <c r="D12" s="121" t="e">
        <f>'HỢP ĐỒNG'!#REF!</f>
        <v>#REF!</v>
      </c>
      <c r="E12" s="122" t="e">
        <f>'HỢP ĐỒNG'!#REF!</f>
        <v>#REF!</v>
      </c>
      <c r="F12" s="131" t="e">
        <f>PACKINGLIST!#REF!</f>
        <v>#REF!</v>
      </c>
      <c r="G12" s="131" t="e">
        <f>PACKINGLIST!#REF!</f>
        <v>#REF!</v>
      </c>
      <c r="H12" s="122" t="e">
        <f>PACKINGLIST!#REF!</f>
        <v>#REF!</v>
      </c>
      <c r="I12" s="122" t="e">
        <f>PACKINGLIST!#REF!</f>
        <v>#REF!</v>
      </c>
    </row>
    <row r="13" spans="1:9" s="121" customFormat="1">
      <c r="A13" s="121" t="e">
        <f>'HỢP ĐỒNG'!#REF!</f>
        <v>#REF!</v>
      </c>
      <c r="B13" s="121" t="e">
        <f>'HỢP ĐỒNG'!#REF!</f>
        <v>#REF!</v>
      </c>
      <c r="C13" s="141" t="e">
        <f>'HỢP ĐỒNG'!#REF!</f>
        <v>#REF!</v>
      </c>
      <c r="D13" s="121" t="e">
        <f>'HỢP ĐỒNG'!#REF!</f>
        <v>#REF!</v>
      </c>
      <c r="E13" s="122" t="e">
        <f>'HỢP ĐỒNG'!#REF!</f>
        <v>#REF!</v>
      </c>
      <c r="F13" s="131" t="e">
        <f>PACKINGLIST!#REF!</f>
        <v>#REF!</v>
      </c>
      <c r="G13" s="131" t="e">
        <f>PACKINGLIST!#REF!</f>
        <v>#REF!</v>
      </c>
      <c r="H13" s="122" t="e">
        <f>PACKINGLIST!#REF!</f>
        <v>#REF!</v>
      </c>
      <c r="I13" s="122" t="e">
        <f>PACKINGLIST!#REF!</f>
        <v>#REF!</v>
      </c>
    </row>
    <row r="14" spans="1:9" s="121" customFormat="1">
      <c r="A14" s="121" t="e">
        <f>'HỢP ĐỒNG'!#REF!</f>
        <v>#REF!</v>
      </c>
      <c r="B14" s="121" t="e">
        <f>'HỢP ĐỒNG'!#REF!</f>
        <v>#REF!</v>
      </c>
      <c r="C14" s="141" t="e">
        <f>'HỢP ĐỒNG'!#REF!</f>
        <v>#REF!</v>
      </c>
      <c r="D14" s="121" t="e">
        <f>'HỢP ĐỒNG'!#REF!</f>
        <v>#REF!</v>
      </c>
      <c r="E14" s="122" t="e">
        <f>'HỢP ĐỒNG'!#REF!</f>
        <v>#REF!</v>
      </c>
      <c r="F14" s="131" t="e">
        <f>PACKINGLIST!#REF!</f>
        <v>#REF!</v>
      </c>
      <c r="G14" s="131" t="e">
        <f>PACKINGLIST!#REF!</f>
        <v>#REF!</v>
      </c>
      <c r="H14" s="122" t="e">
        <f>PACKINGLIST!#REF!</f>
        <v>#REF!</v>
      </c>
      <c r="I14" s="122" t="e">
        <f>PACKINGLIST!#REF!</f>
        <v>#REF!</v>
      </c>
    </row>
    <row r="15" spans="1:9" s="121" customFormat="1">
      <c r="A15" s="121" t="e">
        <f>'HỢP ĐỒNG'!#REF!</f>
        <v>#REF!</v>
      </c>
      <c r="B15" s="121" t="e">
        <f>'HỢP ĐỒNG'!#REF!</f>
        <v>#REF!</v>
      </c>
      <c r="C15" s="141" t="e">
        <f>'HỢP ĐỒNG'!#REF!</f>
        <v>#REF!</v>
      </c>
      <c r="D15" s="121" t="e">
        <f>'HỢP ĐỒNG'!#REF!</f>
        <v>#REF!</v>
      </c>
      <c r="E15" s="122" t="e">
        <f>'HỢP ĐỒNG'!#REF!</f>
        <v>#REF!</v>
      </c>
      <c r="F15" s="131" t="e">
        <f>PACKINGLIST!#REF!</f>
        <v>#REF!</v>
      </c>
      <c r="G15" s="131" t="e">
        <f>PACKINGLIST!#REF!</f>
        <v>#REF!</v>
      </c>
      <c r="H15" s="122" t="e">
        <f>PACKINGLIST!#REF!</f>
        <v>#REF!</v>
      </c>
      <c r="I15" s="122" t="e">
        <f>PACKINGLIST!#REF!</f>
        <v>#REF!</v>
      </c>
    </row>
    <row r="16" spans="1:9" s="121" customFormat="1">
      <c r="A16" s="121" t="e">
        <f>'HỢP ĐỒNG'!#REF!</f>
        <v>#REF!</v>
      </c>
      <c r="B16" s="121" t="e">
        <f>'HỢP ĐỒNG'!#REF!</f>
        <v>#REF!</v>
      </c>
      <c r="C16" s="141" t="e">
        <f>'HỢP ĐỒNG'!#REF!</f>
        <v>#REF!</v>
      </c>
      <c r="D16" s="121" t="e">
        <f>'HỢP ĐỒNG'!#REF!</f>
        <v>#REF!</v>
      </c>
      <c r="E16" s="122" t="e">
        <f>'HỢP ĐỒNG'!#REF!</f>
        <v>#REF!</v>
      </c>
      <c r="F16" s="131" t="e">
        <f>PACKINGLIST!#REF!</f>
        <v>#REF!</v>
      </c>
      <c r="G16" s="131" t="e">
        <f>PACKINGLIST!#REF!</f>
        <v>#REF!</v>
      </c>
      <c r="H16" s="122" t="e">
        <f>PACKINGLIST!#REF!</f>
        <v>#REF!</v>
      </c>
      <c r="I16" s="122" t="e">
        <f>PACKINGLIST!#REF!</f>
        <v>#REF!</v>
      </c>
    </row>
    <row r="17" spans="1:9" s="121" customFormat="1">
      <c r="A17" s="121" t="e">
        <f>'HỢP ĐỒNG'!#REF!</f>
        <v>#REF!</v>
      </c>
      <c r="B17" s="121" t="e">
        <f>'HỢP ĐỒNG'!#REF!</f>
        <v>#REF!</v>
      </c>
      <c r="C17" s="141" t="e">
        <f>'HỢP ĐỒNG'!#REF!</f>
        <v>#REF!</v>
      </c>
      <c r="D17" s="121" t="e">
        <f>'HỢP ĐỒNG'!#REF!</f>
        <v>#REF!</v>
      </c>
      <c r="E17" s="122" t="e">
        <f>'HỢP ĐỒNG'!#REF!</f>
        <v>#REF!</v>
      </c>
      <c r="F17" s="131" t="e">
        <f>PACKINGLIST!#REF!</f>
        <v>#REF!</v>
      </c>
      <c r="G17" s="131" t="e">
        <f>PACKINGLIST!#REF!</f>
        <v>#REF!</v>
      </c>
      <c r="H17" s="122" t="e">
        <f>PACKINGLIST!#REF!</f>
        <v>#REF!</v>
      </c>
      <c r="I17" s="122" t="e">
        <f>PACKINGLIST!#REF!</f>
        <v>#REF!</v>
      </c>
    </row>
    <row r="18" spans="1:9" s="121" customFormat="1">
      <c r="A18" s="121" t="e">
        <f>'HỢP ĐỒNG'!#REF!</f>
        <v>#REF!</v>
      </c>
      <c r="B18" s="121" t="e">
        <f>'HỢP ĐỒNG'!#REF!</f>
        <v>#REF!</v>
      </c>
      <c r="C18" s="141" t="e">
        <f>'HỢP ĐỒNG'!#REF!</f>
        <v>#REF!</v>
      </c>
      <c r="D18" s="121" t="e">
        <f>'HỢP ĐỒNG'!#REF!</f>
        <v>#REF!</v>
      </c>
      <c r="E18" s="122" t="e">
        <f>'HỢP ĐỒNG'!#REF!</f>
        <v>#REF!</v>
      </c>
      <c r="F18" s="131" t="e">
        <f>PACKINGLIST!#REF!</f>
        <v>#REF!</v>
      </c>
      <c r="G18" s="131" t="e">
        <f>PACKINGLIST!#REF!</f>
        <v>#REF!</v>
      </c>
      <c r="H18" s="122" t="e">
        <f>PACKINGLIST!#REF!</f>
        <v>#REF!</v>
      </c>
      <c r="I18" s="122" t="e">
        <f>PACKINGLIST!#REF!</f>
        <v>#REF!</v>
      </c>
    </row>
    <row r="19" spans="1:9" s="121" customFormat="1">
      <c r="A19" s="121" t="e">
        <f>'HỢP ĐỒNG'!#REF!</f>
        <v>#REF!</v>
      </c>
      <c r="B19" s="121" t="e">
        <f>'HỢP ĐỒNG'!#REF!</f>
        <v>#REF!</v>
      </c>
      <c r="C19" s="141" t="e">
        <f>'HỢP ĐỒNG'!#REF!</f>
        <v>#REF!</v>
      </c>
      <c r="D19" s="121" t="e">
        <f>'HỢP ĐỒNG'!#REF!</f>
        <v>#REF!</v>
      </c>
      <c r="E19" s="122" t="e">
        <f>'HỢP ĐỒNG'!#REF!</f>
        <v>#REF!</v>
      </c>
      <c r="F19" s="131" t="e">
        <f>PACKINGLIST!#REF!</f>
        <v>#REF!</v>
      </c>
      <c r="G19" s="131" t="e">
        <f>PACKINGLIST!#REF!</f>
        <v>#REF!</v>
      </c>
      <c r="H19" s="122" t="e">
        <f>PACKINGLIST!#REF!</f>
        <v>#REF!</v>
      </c>
      <c r="I19" s="122" t="e">
        <f>PACKINGLIST!#REF!</f>
        <v>#REF!</v>
      </c>
    </row>
    <row r="20" spans="1:9" s="121" customFormat="1">
      <c r="A20" s="121" t="e">
        <f>'HỢP ĐỒNG'!#REF!</f>
        <v>#REF!</v>
      </c>
      <c r="B20" s="121" t="e">
        <f>'HỢP ĐỒNG'!#REF!</f>
        <v>#REF!</v>
      </c>
      <c r="C20" s="141" t="e">
        <f>'HỢP ĐỒNG'!#REF!</f>
        <v>#REF!</v>
      </c>
      <c r="D20" s="121" t="e">
        <f>'HỢP ĐỒNG'!#REF!</f>
        <v>#REF!</v>
      </c>
      <c r="E20" s="122" t="e">
        <f>'HỢP ĐỒNG'!#REF!</f>
        <v>#REF!</v>
      </c>
      <c r="F20" s="131" t="e">
        <f>PACKINGLIST!#REF!</f>
        <v>#REF!</v>
      </c>
      <c r="G20" s="131" t="e">
        <f>PACKINGLIST!#REF!</f>
        <v>#REF!</v>
      </c>
      <c r="H20" s="122" t="e">
        <f>PACKINGLIST!#REF!</f>
        <v>#REF!</v>
      </c>
      <c r="I20" s="122" t="e">
        <f>PACKINGLIST!#REF!</f>
        <v>#REF!</v>
      </c>
    </row>
    <row r="21" spans="1:9" s="121" customFormat="1">
      <c r="A21" s="121" t="e">
        <f>'HỢP ĐỒNG'!#REF!</f>
        <v>#REF!</v>
      </c>
      <c r="B21" s="121" t="e">
        <f>'HỢP ĐỒNG'!#REF!</f>
        <v>#REF!</v>
      </c>
      <c r="C21" s="141" t="e">
        <f>'HỢP ĐỒNG'!#REF!</f>
        <v>#REF!</v>
      </c>
      <c r="D21" s="121" t="e">
        <f>'HỢP ĐỒNG'!#REF!</f>
        <v>#REF!</v>
      </c>
      <c r="E21" s="122" t="e">
        <f>'HỢP ĐỒNG'!#REF!</f>
        <v>#REF!</v>
      </c>
      <c r="F21" s="131" t="e">
        <f>PACKINGLIST!#REF!</f>
        <v>#REF!</v>
      </c>
      <c r="G21" s="131" t="e">
        <f>PACKINGLIST!#REF!</f>
        <v>#REF!</v>
      </c>
      <c r="H21" s="122" t="e">
        <f>PACKINGLIST!#REF!</f>
        <v>#REF!</v>
      </c>
      <c r="I21" s="122" t="e">
        <f>PACKINGLIST!#REF!</f>
        <v>#REF!</v>
      </c>
    </row>
    <row r="22" spans="1:9" s="121" customFormat="1">
      <c r="A22" s="121" t="e">
        <f>'HỢP ĐỒNG'!#REF!</f>
        <v>#REF!</v>
      </c>
      <c r="B22" s="121" t="e">
        <f>'HỢP ĐỒNG'!#REF!</f>
        <v>#REF!</v>
      </c>
      <c r="C22" s="141" t="e">
        <f>'HỢP ĐỒNG'!#REF!</f>
        <v>#REF!</v>
      </c>
      <c r="D22" s="121" t="e">
        <f>'HỢP ĐỒNG'!#REF!</f>
        <v>#REF!</v>
      </c>
      <c r="E22" s="122" t="e">
        <f>'HỢP ĐỒNG'!#REF!</f>
        <v>#REF!</v>
      </c>
      <c r="F22" s="131" t="e">
        <f>PACKINGLIST!#REF!</f>
        <v>#REF!</v>
      </c>
      <c r="G22" s="131" t="e">
        <f>PACKINGLIST!#REF!</f>
        <v>#REF!</v>
      </c>
      <c r="H22" s="122" t="e">
        <f>PACKINGLIST!#REF!</f>
        <v>#REF!</v>
      </c>
      <c r="I22" s="122" t="e">
        <f>PACKINGLIST!#REF!</f>
        <v>#REF!</v>
      </c>
    </row>
    <row r="23" spans="1:9" s="121" customFormat="1">
      <c r="A23" s="121" t="e">
        <f>'HỢP ĐỒNG'!#REF!</f>
        <v>#REF!</v>
      </c>
      <c r="B23" s="121" t="e">
        <f>'HỢP ĐỒNG'!#REF!</f>
        <v>#REF!</v>
      </c>
      <c r="C23" s="141" t="e">
        <f>'HỢP ĐỒNG'!#REF!</f>
        <v>#REF!</v>
      </c>
      <c r="D23" s="121" t="e">
        <f>'HỢP ĐỒNG'!#REF!</f>
        <v>#REF!</v>
      </c>
      <c r="E23" s="122" t="e">
        <f>'HỢP ĐỒNG'!#REF!</f>
        <v>#REF!</v>
      </c>
      <c r="F23" s="450" t="e">
        <f>PACKINGLIST!#REF!</f>
        <v>#REF!</v>
      </c>
      <c r="G23" s="450" t="e">
        <f>PACKINGLIST!#REF!</f>
        <v>#REF!</v>
      </c>
      <c r="H23" s="122" t="e">
        <f>PACKINGLIST!#REF!</f>
        <v>#REF!</v>
      </c>
      <c r="I23" s="122" t="e">
        <f>PACKINGLIST!#REF!</f>
        <v>#REF!</v>
      </c>
    </row>
    <row r="24" spans="1:9" s="121" customFormat="1">
      <c r="A24" s="121" t="e">
        <f>'HỢP ĐỒNG'!#REF!</f>
        <v>#REF!</v>
      </c>
      <c r="B24" s="121" t="e">
        <f>'HỢP ĐỒNG'!#REF!</f>
        <v>#REF!</v>
      </c>
      <c r="C24" s="141" t="e">
        <f>'HỢP ĐỒNG'!#REF!</f>
        <v>#REF!</v>
      </c>
      <c r="D24" s="121" t="e">
        <f>'HỢP ĐỒNG'!#REF!</f>
        <v>#REF!</v>
      </c>
      <c r="E24" s="122" t="e">
        <f>'HỢP ĐỒNG'!#REF!</f>
        <v>#REF!</v>
      </c>
      <c r="F24" s="451"/>
      <c r="G24" s="451"/>
      <c r="H24" s="122" t="e">
        <f>PACKINGLIST!#REF!</f>
        <v>#REF!</v>
      </c>
      <c r="I24" s="122" t="e">
        <f>PACKINGLIST!#REF!</f>
        <v>#REF!</v>
      </c>
    </row>
    <row r="25" spans="1:9" s="121" customFormat="1">
      <c r="A25" s="121" t="e">
        <f>'HỢP ĐỒNG'!#REF!</f>
        <v>#REF!</v>
      </c>
      <c r="B25" s="121" t="e">
        <f>'HỢP ĐỒNG'!#REF!</f>
        <v>#REF!</v>
      </c>
      <c r="C25" s="141" t="e">
        <f>'HỢP ĐỒNG'!#REF!</f>
        <v>#REF!</v>
      </c>
      <c r="D25" s="121" t="e">
        <f>'HỢP ĐỒNG'!#REF!</f>
        <v>#REF!</v>
      </c>
      <c r="E25" s="122" t="e">
        <f>'HỢP ĐỒNG'!#REF!</f>
        <v>#REF!</v>
      </c>
      <c r="F25" s="451"/>
      <c r="G25" s="451"/>
      <c r="H25" s="122" t="e">
        <f>PACKINGLIST!#REF!</f>
        <v>#REF!</v>
      </c>
      <c r="I25" s="122" t="e">
        <f>PACKINGLIST!#REF!</f>
        <v>#REF!</v>
      </c>
    </row>
    <row r="26" spans="1:9" s="121" customFormat="1">
      <c r="A26" s="121" t="e">
        <f>'HỢP ĐỒNG'!#REF!</f>
        <v>#REF!</v>
      </c>
      <c r="B26" s="121" t="e">
        <f>'HỢP ĐỒNG'!#REF!</f>
        <v>#REF!</v>
      </c>
      <c r="C26" s="141" t="e">
        <f>'HỢP ĐỒNG'!#REF!</f>
        <v>#REF!</v>
      </c>
      <c r="D26" s="121" t="e">
        <f>'HỢP ĐỒNG'!#REF!</f>
        <v>#REF!</v>
      </c>
      <c r="E26" s="122" t="e">
        <f>'HỢP ĐỒNG'!#REF!</f>
        <v>#REF!</v>
      </c>
      <c r="F26" s="452"/>
      <c r="G26" s="452"/>
      <c r="H26" s="122" t="e">
        <f>PACKINGLIST!#REF!</f>
        <v>#REF!</v>
      </c>
      <c r="I26" s="122" t="e">
        <f>PACKINGLIST!#REF!</f>
        <v>#REF!</v>
      </c>
    </row>
    <row r="27" spans="1:9" s="121" customFormat="1">
      <c r="A27" s="121" t="e">
        <f>'HỢP ĐỒNG'!#REF!</f>
        <v>#REF!</v>
      </c>
      <c r="B27" s="121" t="e">
        <f>'HỢP ĐỒNG'!#REF!</f>
        <v>#REF!</v>
      </c>
      <c r="C27" s="141" t="e">
        <f>'HỢP ĐỒNG'!#REF!</f>
        <v>#REF!</v>
      </c>
      <c r="D27" s="121" t="e">
        <f>'HỢP ĐỒNG'!#REF!</f>
        <v>#REF!</v>
      </c>
      <c r="E27" s="122" t="e">
        <f>'HỢP ĐỒNG'!#REF!</f>
        <v>#REF!</v>
      </c>
      <c r="F27" s="131" t="e">
        <f>PACKINGLIST!#REF!</f>
        <v>#REF!</v>
      </c>
      <c r="G27" s="131" t="e">
        <f>PACKINGLIST!#REF!</f>
        <v>#REF!</v>
      </c>
      <c r="H27" s="122" t="e">
        <f>PACKINGLIST!#REF!</f>
        <v>#REF!</v>
      </c>
      <c r="I27" s="122" t="e">
        <f>PACKINGLIST!#REF!</f>
        <v>#REF!</v>
      </c>
    </row>
    <row r="28" spans="1:9" s="121" customFormat="1">
      <c r="A28" s="121" t="e">
        <f>'HỢP ĐỒNG'!#REF!</f>
        <v>#REF!</v>
      </c>
      <c r="B28" s="121" t="e">
        <f>'HỢP ĐỒNG'!#REF!</f>
        <v>#REF!</v>
      </c>
      <c r="C28" s="141" t="e">
        <f>'HỢP ĐỒNG'!#REF!</f>
        <v>#REF!</v>
      </c>
      <c r="D28" s="121" t="e">
        <f>'HỢP ĐỒNG'!#REF!</f>
        <v>#REF!</v>
      </c>
      <c r="E28" s="122" t="e">
        <f>'HỢP ĐỒNG'!#REF!</f>
        <v>#REF!</v>
      </c>
      <c r="F28" s="131" t="e">
        <f>PACKINGLIST!#REF!</f>
        <v>#REF!</v>
      </c>
      <c r="G28" s="131" t="e">
        <f>PACKINGLIST!#REF!</f>
        <v>#REF!</v>
      </c>
      <c r="H28" s="122" t="e">
        <f>PACKINGLIST!#REF!</f>
        <v>#REF!</v>
      </c>
      <c r="I28" s="122" t="e">
        <f>PACKINGLIST!#REF!</f>
        <v>#REF!</v>
      </c>
    </row>
    <row r="29" spans="1:9" s="121" customFormat="1">
      <c r="A29" s="121" t="e">
        <f>'HỢP ĐỒNG'!#REF!</f>
        <v>#REF!</v>
      </c>
      <c r="B29" s="121" t="e">
        <f>'HỢP ĐỒNG'!#REF!</f>
        <v>#REF!</v>
      </c>
      <c r="C29" s="141" t="e">
        <f>'HỢP ĐỒNG'!#REF!</f>
        <v>#REF!</v>
      </c>
      <c r="D29" s="121" t="e">
        <f>'HỢP ĐỒNG'!#REF!</f>
        <v>#REF!</v>
      </c>
      <c r="E29" s="122" t="e">
        <f>'HỢP ĐỒNG'!#REF!</f>
        <v>#REF!</v>
      </c>
      <c r="F29" s="131" t="e">
        <f>PACKINGLIST!#REF!</f>
        <v>#REF!</v>
      </c>
      <c r="G29" s="450" t="e">
        <f>PACKINGLIST!#REF!</f>
        <v>#REF!</v>
      </c>
      <c r="H29" s="122" t="e">
        <f>PACKINGLIST!#REF!</f>
        <v>#REF!</v>
      </c>
      <c r="I29" s="122" t="e">
        <f>PACKINGLIST!#REF!</f>
        <v>#REF!</v>
      </c>
    </row>
    <row r="30" spans="1:9" s="121" customFormat="1">
      <c r="A30" s="121" t="e">
        <f>'HỢP ĐỒNG'!#REF!</f>
        <v>#REF!</v>
      </c>
      <c r="B30" s="121" t="e">
        <f>'HỢP ĐỒNG'!#REF!</f>
        <v>#REF!</v>
      </c>
      <c r="C30" s="141" t="e">
        <f>'HỢP ĐỒNG'!#REF!</f>
        <v>#REF!</v>
      </c>
      <c r="D30" s="121" t="e">
        <f>'HỢP ĐỒNG'!#REF!</f>
        <v>#REF!</v>
      </c>
      <c r="E30" s="122" t="e">
        <f>'HỢP ĐỒNG'!#REF!</f>
        <v>#REF!</v>
      </c>
      <c r="F30" s="131" t="e">
        <f>PACKINGLIST!#REF!</f>
        <v>#REF!</v>
      </c>
      <c r="G30" s="451"/>
      <c r="H30" s="122" t="e">
        <f>PACKINGLIST!#REF!</f>
        <v>#REF!</v>
      </c>
      <c r="I30" s="122" t="e">
        <f>PACKINGLIST!#REF!</f>
        <v>#REF!</v>
      </c>
    </row>
    <row r="31" spans="1:9" s="121" customFormat="1">
      <c r="A31" s="121" t="e">
        <f>'HỢP ĐỒNG'!#REF!</f>
        <v>#REF!</v>
      </c>
      <c r="B31" s="121" t="e">
        <f>'HỢP ĐỒNG'!#REF!</f>
        <v>#REF!</v>
      </c>
      <c r="C31" s="141" t="e">
        <f>'HỢP ĐỒNG'!#REF!</f>
        <v>#REF!</v>
      </c>
      <c r="D31" s="121" t="e">
        <f>'HỢP ĐỒNG'!#REF!</f>
        <v>#REF!</v>
      </c>
      <c r="E31" s="122" t="e">
        <f>'HỢP ĐỒNG'!#REF!</f>
        <v>#REF!</v>
      </c>
      <c r="F31" s="131" t="e">
        <f>PACKINGLIST!#REF!</f>
        <v>#REF!</v>
      </c>
      <c r="G31" s="452"/>
      <c r="H31" s="122" t="e">
        <f>PACKINGLIST!#REF!</f>
        <v>#REF!</v>
      </c>
      <c r="I31" s="122" t="e">
        <f>PACKINGLIST!#REF!</f>
        <v>#REF!</v>
      </c>
    </row>
    <row r="32" spans="1:9" s="121" customFormat="1">
      <c r="A32" s="121" t="e">
        <f>'HỢP ĐỒNG'!#REF!</f>
        <v>#REF!</v>
      </c>
      <c r="B32" s="121" t="e">
        <f>'HỢP ĐỒNG'!#REF!</f>
        <v>#REF!</v>
      </c>
      <c r="C32" s="141" t="e">
        <f>'HỢP ĐỒNG'!#REF!</f>
        <v>#REF!</v>
      </c>
      <c r="D32" s="121" t="e">
        <f>'HỢP ĐỒNG'!#REF!</f>
        <v>#REF!</v>
      </c>
      <c r="E32" s="122" t="e">
        <f>'HỢP ĐỒNG'!#REF!</f>
        <v>#REF!</v>
      </c>
      <c r="F32" s="131" t="e">
        <f>PACKINGLIST!#REF!</f>
        <v>#REF!</v>
      </c>
      <c r="G32" s="131" t="e">
        <f>PACKINGLIST!#REF!</f>
        <v>#REF!</v>
      </c>
      <c r="H32" s="122" t="e">
        <f>PACKINGLIST!#REF!</f>
        <v>#REF!</v>
      </c>
      <c r="I32" s="122" t="e">
        <f>PACKINGLIST!#REF!</f>
        <v>#REF!</v>
      </c>
    </row>
    <row r="33" spans="1:9" s="121" customFormat="1">
      <c r="A33" s="121" t="e">
        <f>'HỢP ĐỒNG'!#REF!</f>
        <v>#REF!</v>
      </c>
      <c r="B33" s="121" t="e">
        <f>'HỢP ĐỒNG'!#REF!</f>
        <v>#REF!</v>
      </c>
      <c r="C33" s="141" t="e">
        <f>'HỢP ĐỒNG'!#REF!</f>
        <v>#REF!</v>
      </c>
      <c r="D33" s="121" t="e">
        <f>'HỢP ĐỒNG'!#REF!</f>
        <v>#REF!</v>
      </c>
      <c r="E33" s="122" t="e">
        <f>'HỢP ĐỒNG'!#REF!</f>
        <v>#REF!</v>
      </c>
      <c r="F33" s="131" t="e">
        <f>PACKINGLIST!#REF!</f>
        <v>#REF!</v>
      </c>
      <c r="G33" s="131" t="e">
        <f>PACKINGLIST!#REF!</f>
        <v>#REF!</v>
      </c>
      <c r="H33" s="122" t="e">
        <f>PACKINGLIST!#REF!</f>
        <v>#REF!</v>
      </c>
      <c r="I33" s="122" t="e">
        <f>PACKINGLIST!#REF!</f>
        <v>#REF!</v>
      </c>
    </row>
    <row r="34" spans="1:9" s="121" customFormat="1">
      <c r="A34" s="121" t="e">
        <f>'HỢP ĐỒNG'!#REF!</f>
        <v>#REF!</v>
      </c>
      <c r="B34" s="121" t="e">
        <f>'HỢP ĐỒNG'!#REF!</f>
        <v>#REF!</v>
      </c>
      <c r="C34" s="141" t="e">
        <f>'HỢP ĐỒNG'!#REF!</f>
        <v>#REF!</v>
      </c>
      <c r="D34" s="121" t="e">
        <f>'HỢP ĐỒNG'!#REF!</f>
        <v>#REF!</v>
      </c>
      <c r="E34" s="122" t="e">
        <f>'HỢP ĐỒNG'!#REF!</f>
        <v>#REF!</v>
      </c>
      <c r="F34" s="131" t="e">
        <f>PACKINGLIST!#REF!</f>
        <v>#REF!</v>
      </c>
      <c r="G34" s="131" t="e">
        <f>PACKINGLIST!#REF!</f>
        <v>#REF!</v>
      </c>
      <c r="H34" s="122" t="e">
        <f>PACKINGLIST!#REF!</f>
        <v>#REF!</v>
      </c>
      <c r="I34" s="122" t="e">
        <f>PACKINGLIST!#REF!</f>
        <v>#REF!</v>
      </c>
    </row>
    <row r="35" spans="1:9" s="121" customFormat="1">
      <c r="A35" s="121" t="e">
        <f>'HỢP ĐỒNG'!#REF!</f>
        <v>#REF!</v>
      </c>
      <c r="B35" s="121" t="e">
        <f>'HỢP ĐỒNG'!#REF!</f>
        <v>#REF!</v>
      </c>
      <c r="C35" s="141" t="e">
        <f>'HỢP ĐỒNG'!#REF!</f>
        <v>#REF!</v>
      </c>
      <c r="D35" s="121" t="e">
        <f>'HỢP ĐỒNG'!#REF!</f>
        <v>#REF!</v>
      </c>
      <c r="E35" s="122" t="e">
        <f>'HỢP ĐỒNG'!#REF!</f>
        <v>#REF!</v>
      </c>
      <c r="F35" s="131" t="e">
        <f>PACKINGLIST!#REF!</f>
        <v>#REF!</v>
      </c>
      <c r="G35" s="131" t="e">
        <f>PACKINGLIST!#REF!</f>
        <v>#REF!</v>
      </c>
      <c r="H35" s="122" t="e">
        <f>PACKINGLIST!#REF!</f>
        <v>#REF!</v>
      </c>
      <c r="I35" s="122" t="e">
        <f>PACKINGLIST!#REF!</f>
        <v>#REF!</v>
      </c>
    </row>
    <row r="36" spans="1:9" s="121" customFormat="1">
      <c r="A36" s="121" t="e">
        <f>'HỢP ĐỒNG'!#REF!</f>
        <v>#REF!</v>
      </c>
      <c r="B36" s="121" t="e">
        <f>'HỢP ĐỒNG'!#REF!</f>
        <v>#REF!</v>
      </c>
      <c r="C36" s="141" t="e">
        <f>'HỢP ĐỒNG'!#REF!</f>
        <v>#REF!</v>
      </c>
      <c r="D36" s="121" t="e">
        <f>'HỢP ĐỒNG'!#REF!</f>
        <v>#REF!</v>
      </c>
      <c r="E36" s="122" t="e">
        <f>'HỢP ĐỒNG'!#REF!</f>
        <v>#REF!</v>
      </c>
      <c r="F36" s="131" t="e">
        <f>PACKINGLIST!#REF!</f>
        <v>#REF!</v>
      </c>
      <c r="G36" s="131" t="e">
        <f>PACKINGLIST!#REF!</f>
        <v>#REF!</v>
      </c>
      <c r="H36" s="122" t="e">
        <f>PACKINGLIST!#REF!</f>
        <v>#REF!</v>
      </c>
      <c r="I36" s="122" t="e">
        <f>PACKINGLIST!#REF!</f>
        <v>#REF!</v>
      </c>
    </row>
    <row r="37" spans="1:9" s="121" customFormat="1">
      <c r="A37" s="121" t="e">
        <f>'HỢP ĐỒNG'!#REF!</f>
        <v>#REF!</v>
      </c>
      <c r="B37" s="121" t="e">
        <f>'HỢP ĐỒNG'!#REF!</f>
        <v>#REF!</v>
      </c>
      <c r="C37" s="141" t="e">
        <f>'HỢP ĐỒNG'!#REF!</f>
        <v>#REF!</v>
      </c>
      <c r="D37" s="121" t="e">
        <f>'HỢP ĐỒNG'!#REF!</f>
        <v>#REF!</v>
      </c>
      <c r="E37" s="122" t="e">
        <f>'HỢP ĐỒNG'!#REF!</f>
        <v>#REF!</v>
      </c>
      <c r="F37" s="131" t="e">
        <f>PACKINGLIST!#REF!</f>
        <v>#REF!</v>
      </c>
      <c r="G37" s="131" t="e">
        <f>PACKINGLIST!#REF!</f>
        <v>#REF!</v>
      </c>
      <c r="H37" s="122" t="e">
        <f>PACKINGLIST!#REF!</f>
        <v>#REF!</v>
      </c>
      <c r="I37" s="122" t="e">
        <f>PACKINGLIST!#REF!</f>
        <v>#REF!</v>
      </c>
    </row>
    <row r="38" spans="1:9" s="121" customFormat="1">
      <c r="A38" s="121" t="e">
        <f>'HỢP ĐỒNG'!#REF!</f>
        <v>#REF!</v>
      </c>
      <c r="B38" s="121" t="e">
        <f>'HỢP ĐỒNG'!#REF!</f>
        <v>#REF!</v>
      </c>
      <c r="C38" s="141" t="e">
        <f>'HỢP ĐỒNG'!#REF!</f>
        <v>#REF!</v>
      </c>
      <c r="D38" s="121" t="e">
        <f>'HỢP ĐỒNG'!#REF!</f>
        <v>#REF!</v>
      </c>
      <c r="E38" s="122" t="e">
        <f>'HỢP ĐỒNG'!#REF!</f>
        <v>#REF!</v>
      </c>
      <c r="F38" s="131" t="e">
        <f>PACKINGLIST!#REF!</f>
        <v>#REF!</v>
      </c>
      <c r="G38" s="131" t="e">
        <f>PACKINGLIST!#REF!</f>
        <v>#REF!</v>
      </c>
      <c r="H38" s="122" t="e">
        <f>PACKINGLIST!#REF!</f>
        <v>#REF!</v>
      </c>
      <c r="I38" s="122" t="e">
        <f>PACKINGLIST!#REF!</f>
        <v>#REF!</v>
      </c>
    </row>
    <row r="39" spans="1:9" s="121" customFormat="1">
      <c r="A39" s="121" t="e">
        <f>'HỢP ĐỒNG'!#REF!</f>
        <v>#REF!</v>
      </c>
      <c r="B39" s="121" t="e">
        <f>'HỢP ĐỒNG'!#REF!</f>
        <v>#REF!</v>
      </c>
      <c r="C39" s="141" t="e">
        <f>'HỢP ĐỒNG'!#REF!</f>
        <v>#REF!</v>
      </c>
      <c r="D39" s="121" t="e">
        <f>'HỢP ĐỒNG'!#REF!</f>
        <v>#REF!</v>
      </c>
      <c r="E39" s="122" t="e">
        <f>'HỢP ĐỒNG'!#REF!</f>
        <v>#REF!</v>
      </c>
      <c r="F39" s="131" t="e">
        <f>PACKINGLIST!#REF!</f>
        <v>#REF!</v>
      </c>
      <c r="G39" s="131" t="e">
        <f>PACKINGLIST!#REF!</f>
        <v>#REF!</v>
      </c>
      <c r="H39" s="122" t="e">
        <f>PACKINGLIST!#REF!</f>
        <v>#REF!</v>
      </c>
      <c r="I39" s="122" t="e">
        <f>PACKINGLIST!#REF!</f>
        <v>#REF!</v>
      </c>
    </row>
    <row r="40" spans="1:9" s="121" customFormat="1">
      <c r="A40" s="121" t="e">
        <f>'HỢP ĐỒNG'!#REF!</f>
        <v>#REF!</v>
      </c>
      <c r="B40" s="121" t="e">
        <f>'HỢP ĐỒNG'!#REF!</f>
        <v>#REF!</v>
      </c>
      <c r="C40" s="141" t="e">
        <f>'HỢP ĐỒNG'!#REF!</f>
        <v>#REF!</v>
      </c>
      <c r="D40" s="121" t="e">
        <f>'HỢP ĐỒNG'!#REF!</f>
        <v>#REF!</v>
      </c>
      <c r="E40" s="122" t="e">
        <f>'HỢP ĐỒNG'!#REF!</f>
        <v>#REF!</v>
      </c>
      <c r="F40" s="131" t="e">
        <f>PACKINGLIST!#REF!</f>
        <v>#REF!</v>
      </c>
      <c r="G40" s="131" t="e">
        <f>PACKINGLIST!#REF!</f>
        <v>#REF!</v>
      </c>
      <c r="H40" s="122" t="e">
        <f>PACKINGLIST!#REF!</f>
        <v>#REF!</v>
      </c>
      <c r="I40" s="122" t="e">
        <f>PACKINGLIST!#REF!</f>
        <v>#REF!</v>
      </c>
    </row>
    <row r="41" spans="1:9" s="121" customFormat="1">
      <c r="A41" s="121" t="e">
        <f>'HỢP ĐỒNG'!#REF!</f>
        <v>#REF!</v>
      </c>
      <c r="B41" s="121" t="e">
        <f>'HỢP ĐỒNG'!#REF!</f>
        <v>#REF!</v>
      </c>
      <c r="C41" s="141" t="e">
        <f>'HỢP ĐỒNG'!#REF!</f>
        <v>#REF!</v>
      </c>
      <c r="D41" s="121" t="e">
        <f>'HỢP ĐỒNG'!#REF!</f>
        <v>#REF!</v>
      </c>
      <c r="E41" s="122" t="e">
        <f>'HỢP ĐỒNG'!#REF!</f>
        <v>#REF!</v>
      </c>
      <c r="F41" s="131" t="e">
        <f>PACKINGLIST!#REF!</f>
        <v>#REF!</v>
      </c>
      <c r="G41" s="131" t="e">
        <f>PACKINGLIST!#REF!</f>
        <v>#REF!</v>
      </c>
      <c r="H41" s="122" t="e">
        <f>PACKINGLIST!#REF!</f>
        <v>#REF!</v>
      </c>
      <c r="I41" s="122" t="e">
        <f>PACKINGLIST!#REF!</f>
        <v>#REF!</v>
      </c>
    </row>
    <row r="42" spans="1:9" s="121" customFormat="1">
      <c r="A42" s="121" t="e">
        <f>'HỢP ĐỒNG'!#REF!</f>
        <v>#REF!</v>
      </c>
      <c r="B42" s="121" t="e">
        <f>'HỢP ĐỒNG'!#REF!</f>
        <v>#REF!</v>
      </c>
      <c r="C42" s="141" t="e">
        <f>'HỢP ĐỒNG'!#REF!</f>
        <v>#REF!</v>
      </c>
      <c r="D42" s="121" t="e">
        <f>'HỢP ĐỒNG'!#REF!</f>
        <v>#REF!</v>
      </c>
      <c r="E42" s="122" t="e">
        <f>'HỢP ĐỒNG'!#REF!</f>
        <v>#REF!</v>
      </c>
      <c r="F42" s="131" t="e">
        <f>PACKINGLIST!#REF!</f>
        <v>#REF!</v>
      </c>
      <c r="G42" s="131" t="e">
        <f>PACKINGLIST!#REF!</f>
        <v>#REF!</v>
      </c>
      <c r="H42" s="122" t="e">
        <f>PACKINGLIST!#REF!</f>
        <v>#REF!</v>
      </c>
      <c r="I42" s="122" t="e">
        <f>PACKINGLIST!#REF!</f>
        <v>#REF!</v>
      </c>
    </row>
    <row r="43" spans="1:9" s="121" customFormat="1">
      <c r="A43" s="121" t="e">
        <f>'HỢP ĐỒNG'!#REF!</f>
        <v>#REF!</v>
      </c>
      <c r="B43" s="121" t="e">
        <f>'HỢP ĐỒNG'!#REF!</f>
        <v>#REF!</v>
      </c>
      <c r="C43" s="141" t="e">
        <f>'HỢP ĐỒNG'!#REF!</f>
        <v>#REF!</v>
      </c>
      <c r="D43" s="121" t="e">
        <f>'HỢP ĐỒNG'!#REF!</f>
        <v>#REF!</v>
      </c>
      <c r="E43" s="122" t="e">
        <f>'HỢP ĐỒNG'!#REF!</f>
        <v>#REF!</v>
      </c>
      <c r="F43" s="131" t="e">
        <f>PACKINGLIST!#REF!</f>
        <v>#REF!</v>
      </c>
      <c r="G43" s="131" t="e">
        <f>PACKINGLIST!#REF!</f>
        <v>#REF!</v>
      </c>
      <c r="H43" s="122" t="e">
        <f>PACKINGLIST!#REF!</f>
        <v>#REF!</v>
      </c>
      <c r="I43" s="122" t="e">
        <f>PACKINGLIST!#REF!</f>
        <v>#REF!</v>
      </c>
    </row>
    <row r="44" spans="1:9" s="121" customFormat="1">
      <c r="A44" s="121" t="e">
        <f>'HỢP ĐỒNG'!#REF!</f>
        <v>#REF!</v>
      </c>
      <c r="B44" s="121" t="e">
        <f>'HỢP ĐỒNG'!#REF!</f>
        <v>#REF!</v>
      </c>
      <c r="C44" s="141" t="e">
        <f>'HỢP ĐỒNG'!#REF!</f>
        <v>#REF!</v>
      </c>
      <c r="D44" s="121" t="e">
        <f>'HỢP ĐỒNG'!#REF!</f>
        <v>#REF!</v>
      </c>
      <c r="E44" s="122" t="e">
        <f>'HỢP ĐỒNG'!#REF!</f>
        <v>#REF!</v>
      </c>
      <c r="F44" s="131" t="e">
        <f>PACKINGLIST!#REF!</f>
        <v>#REF!</v>
      </c>
      <c r="G44" s="131" t="e">
        <f>PACKINGLIST!#REF!</f>
        <v>#REF!</v>
      </c>
      <c r="H44" s="122" t="e">
        <f>PACKINGLIST!#REF!</f>
        <v>#REF!</v>
      </c>
      <c r="I44" s="122" t="e">
        <f>PACKINGLIST!#REF!</f>
        <v>#REF!</v>
      </c>
    </row>
    <row r="45" spans="1:9" s="121" customFormat="1">
      <c r="A45" s="121" t="e">
        <f>'HỢP ĐỒNG'!#REF!</f>
        <v>#REF!</v>
      </c>
      <c r="B45" s="121" t="e">
        <f>'HỢP ĐỒNG'!#REF!</f>
        <v>#REF!</v>
      </c>
      <c r="C45" s="141" t="e">
        <f>'HỢP ĐỒNG'!#REF!</f>
        <v>#REF!</v>
      </c>
      <c r="D45" s="121" t="e">
        <f>'HỢP ĐỒNG'!#REF!</f>
        <v>#REF!</v>
      </c>
      <c r="E45" s="122" t="e">
        <f>'HỢP ĐỒNG'!#REF!</f>
        <v>#REF!</v>
      </c>
      <c r="F45" s="131" t="e">
        <f>PACKINGLIST!#REF!</f>
        <v>#REF!</v>
      </c>
      <c r="G45" s="131" t="e">
        <f>PACKINGLIST!#REF!</f>
        <v>#REF!</v>
      </c>
      <c r="H45" s="122" t="e">
        <f>PACKINGLIST!#REF!</f>
        <v>#REF!</v>
      </c>
      <c r="I45" s="122" t="e">
        <f>PACKINGLIST!#REF!</f>
        <v>#REF!</v>
      </c>
    </row>
    <row r="46" spans="1:9" s="121" customFormat="1">
      <c r="A46" s="121" t="e">
        <f>'HỢP ĐỒNG'!#REF!</f>
        <v>#REF!</v>
      </c>
      <c r="B46" s="121" t="e">
        <f>'HỢP ĐỒNG'!#REF!</f>
        <v>#REF!</v>
      </c>
      <c r="C46" s="141" t="e">
        <f>'HỢP ĐỒNG'!#REF!</f>
        <v>#REF!</v>
      </c>
      <c r="D46" s="121" t="e">
        <f>'HỢP ĐỒNG'!#REF!</f>
        <v>#REF!</v>
      </c>
      <c r="E46" s="122" t="e">
        <f>'HỢP ĐỒNG'!#REF!</f>
        <v>#REF!</v>
      </c>
      <c r="F46" s="131" t="e">
        <f>PACKINGLIST!#REF!</f>
        <v>#REF!</v>
      </c>
      <c r="G46" s="450" t="e">
        <f>PACKINGLIST!#REF!</f>
        <v>#REF!</v>
      </c>
      <c r="H46" s="122" t="e">
        <f>PACKINGLIST!#REF!</f>
        <v>#REF!</v>
      </c>
      <c r="I46" s="122" t="e">
        <f>PACKINGLIST!#REF!</f>
        <v>#REF!</v>
      </c>
    </row>
    <row r="47" spans="1:9" s="121" customFormat="1">
      <c r="A47" s="121" t="e">
        <f>'HỢP ĐỒNG'!#REF!</f>
        <v>#REF!</v>
      </c>
      <c r="B47" s="121" t="e">
        <f>'HỢP ĐỒNG'!#REF!</f>
        <v>#REF!</v>
      </c>
      <c r="C47" s="141" t="e">
        <f>'HỢP ĐỒNG'!#REF!</f>
        <v>#REF!</v>
      </c>
      <c r="D47" s="121" t="e">
        <f>'HỢP ĐỒNG'!#REF!</f>
        <v>#REF!</v>
      </c>
      <c r="E47" s="122" t="e">
        <f>'HỢP ĐỒNG'!#REF!</f>
        <v>#REF!</v>
      </c>
      <c r="F47" s="131" t="e">
        <f>PACKINGLIST!#REF!</f>
        <v>#REF!</v>
      </c>
      <c r="G47" s="451"/>
      <c r="H47" s="122" t="e">
        <f>PACKINGLIST!#REF!</f>
        <v>#REF!</v>
      </c>
      <c r="I47" s="122" t="e">
        <f>PACKINGLIST!#REF!</f>
        <v>#REF!</v>
      </c>
    </row>
    <row r="48" spans="1:9" s="121" customFormat="1">
      <c r="A48" s="121" t="e">
        <f>'HỢP ĐỒNG'!#REF!</f>
        <v>#REF!</v>
      </c>
      <c r="B48" s="121" t="e">
        <f>'HỢP ĐỒNG'!#REF!</f>
        <v>#REF!</v>
      </c>
      <c r="C48" s="141" t="e">
        <f>'HỢP ĐỒNG'!#REF!</f>
        <v>#REF!</v>
      </c>
      <c r="D48" s="121" t="e">
        <f>'HỢP ĐỒNG'!#REF!</f>
        <v>#REF!</v>
      </c>
      <c r="E48" s="122" t="e">
        <f>'HỢP ĐỒNG'!#REF!</f>
        <v>#REF!</v>
      </c>
      <c r="F48" s="131" t="e">
        <f>PACKINGLIST!#REF!</f>
        <v>#REF!</v>
      </c>
      <c r="G48" s="451"/>
      <c r="H48" s="122" t="e">
        <f>PACKINGLIST!#REF!</f>
        <v>#REF!</v>
      </c>
      <c r="I48" s="122" t="e">
        <f>PACKINGLIST!#REF!</f>
        <v>#REF!</v>
      </c>
    </row>
    <row r="49" spans="1:9" s="121" customFormat="1">
      <c r="A49" s="121" t="e">
        <f>'HỢP ĐỒNG'!#REF!</f>
        <v>#REF!</v>
      </c>
      <c r="B49" s="121" t="e">
        <f>'HỢP ĐỒNG'!#REF!</f>
        <v>#REF!</v>
      </c>
      <c r="C49" s="141" t="e">
        <f>'HỢP ĐỒNG'!#REF!</f>
        <v>#REF!</v>
      </c>
      <c r="D49" s="121" t="e">
        <f>'HỢP ĐỒNG'!#REF!</f>
        <v>#REF!</v>
      </c>
      <c r="E49" s="122" t="e">
        <f>'HỢP ĐỒNG'!#REF!</f>
        <v>#REF!</v>
      </c>
      <c r="F49" s="131" t="e">
        <f>PACKINGLIST!#REF!</f>
        <v>#REF!</v>
      </c>
      <c r="G49" s="452"/>
      <c r="H49" s="122" t="e">
        <f>PACKINGLIST!#REF!</f>
        <v>#REF!</v>
      </c>
      <c r="I49" s="122" t="e">
        <f>PACKINGLIST!#REF!</f>
        <v>#REF!</v>
      </c>
    </row>
    <row r="50" spans="1:9" s="121" customFormat="1">
      <c r="A50" s="121" t="e">
        <f>'HỢP ĐỒNG'!#REF!</f>
        <v>#REF!</v>
      </c>
      <c r="B50" s="121" t="e">
        <f>'HỢP ĐỒNG'!#REF!</f>
        <v>#REF!</v>
      </c>
      <c r="C50" s="141" t="e">
        <f>'HỢP ĐỒNG'!#REF!</f>
        <v>#REF!</v>
      </c>
      <c r="D50" s="121" t="e">
        <f>'HỢP ĐỒNG'!#REF!</f>
        <v>#REF!</v>
      </c>
      <c r="E50" s="122" t="e">
        <f>'HỢP ĐỒNG'!#REF!</f>
        <v>#REF!</v>
      </c>
      <c r="F50" s="131" t="e">
        <f>PACKINGLIST!#REF!</f>
        <v>#REF!</v>
      </c>
      <c r="G50" s="450" t="e">
        <f>PACKINGLIST!#REF!</f>
        <v>#REF!</v>
      </c>
      <c r="H50" s="122" t="e">
        <f>PACKINGLIST!#REF!</f>
        <v>#REF!</v>
      </c>
      <c r="I50" s="122" t="e">
        <f>PACKINGLIST!#REF!</f>
        <v>#REF!</v>
      </c>
    </row>
    <row r="51" spans="1:9" s="121" customFormat="1">
      <c r="A51" s="121" t="e">
        <f>'HỢP ĐỒNG'!#REF!</f>
        <v>#REF!</v>
      </c>
      <c r="B51" s="121" t="e">
        <f>'HỢP ĐỒNG'!#REF!</f>
        <v>#REF!</v>
      </c>
      <c r="C51" s="141" t="e">
        <f>'HỢP ĐỒNG'!#REF!</f>
        <v>#REF!</v>
      </c>
      <c r="D51" s="121" t="e">
        <f>'HỢP ĐỒNG'!#REF!</f>
        <v>#REF!</v>
      </c>
      <c r="E51" s="122" t="e">
        <f>'HỢP ĐỒNG'!#REF!</f>
        <v>#REF!</v>
      </c>
      <c r="F51" s="131" t="e">
        <f>PACKINGLIST!#REF!</f>
        <v>#REF!</v>
      </c>
      <c r="G51" s="451"/>
      <c r="H51" s="122" t="e">
        <f>PACKINGLIST!#REF!</f>
        <v>#REF!</v>
      </c>
      <c r="I51" s="122" t="e">
        <f>PACKINGLIST!#REF!</f>
        <v>#REF!</v>
      </c>
    </row>
    <row r="52" spans="1:9" s="121" customFormat="1">
      <c r="A52" s="121" t="e">
        <f>'HỢP ĐỒNG'!#REF!</f>
        <v>#REF!</v>
      </c>
      <c r="B52" s="121" t="e">
        <f>'HỢP ĐỒNG'!#REF!</f>
        <v>#REF!</v>
      </c>
      <c r="C52" s="141" t="e">
        <f>'HỢP ĐỒNG'!#REF!</f>
        <v>#REF!</v>
      </c>
      <c r="D52" s="121" t="e">
        <f>'HỢP ĐỒNG'!#REF!</f>
        <v>#REF!</v>
      </c>
      <c r="E52" s="122" t="e">
        <f>'HỢP ĐỒNG'!#REF!</f>
        <v>#REF!</v>
      </c>
      <c r="F52" s="131" t="e">
        <f>PACKINGLIST!#REF!</f>
        <v>#REF!</v>
      </c>
      <c r="G52" s="451"/>
      <c r="H52" s="122" t="e">
        <f>PACKINGLIST!#REF!</f>
        <v>#REF!</v>
      </c>
      <c r="I52" s="122" t="e">
        <f>PACKINGLIST!#REF!</f>
        <v>#REF!</v>
      </c>
    </row>
    <row r="53" spans="1:9" s="121" customFormat="1">
      <c r="A53" s="121" t="e">
        <f>'HỢP ĐỒNG'!#REF!</f>
        <v>#REF!</v>
      </c>
      <c r="B53" s="121" t="e">
        <f>'HỢP ĐỒNG'!#REF!</f>
        <v>#REF!</v>
      </c>
      <c r="C53" s="141" t="e">
        <f>'HỢP ĐỒNG'!#REF!</f>
        <v>#REF!</v>
      </c>
      <c r="D53" s="121" t="e">
        <f>'HỢP ĐỒNG'!#REF!</f>
        <v>#REF!</v>
      </c>
      <c r="E53" s="122" t="e">
        <f>'HỢP ĐỒNG'!#REF!</f>
        <v>#REF!</v>
      </c>
      <c r="F53" s="131" t="e">
        <f>PACKINGLIST!#REF!</f>
        <v>#REF!</v>
      </c>
      <c r="G53" s="452"/>
      <c r="H53" s="122" t="e">
        <f>PACKINGLIST!#REF!</f>
        <v>#REF!</v>
      </c>
      <c r="I53" s="122" t="e">
        <f>PACKINGLIST!#REF!</f>
        <v>#REF!</v>
      </c>
    </row>
    <row r="54" spans="1:9" s="121" customFormat="1">
      <c r="A54" s="121" t="e">
        <f>'HỢP ĐỒNG'!#REF!</f>
        <v>#REF!</v>
      </c>
      <c r="B54" s="121" t="e">
        <f>'HỢP ĐỒNG'!#REF!</f>
        <v>#REF!</v>
      </c>
      <c r="C54" s="141" t="e">
        <f>'HỢP ĐỒNG'!#REF!</f>
        <v>#REF!</v>
      </c>
      <c r="D54" s="121" t="e">
        <f>'HỢP ĐỒNG'!#REF!</f>
        <v>#REF!</v>
      </c>
      <c r="E54" s="122" t="e">
        <f>'HỢP ĐỒNG'!#REF!</f>
        <v>#REF!</v>
      </c>
      <c r="F54" s="131" t="e">
        <f>PACKINGLIST!#REF!</f>
        <v>#REF!</v>
      </c>
      <c r="G54" s="131" t="e">
        <f>PACKINGLIST!#REF!</f>
        <v>#REF!</v>
      </c>
      <c r="H54" s="122" t="e">
        <f>PACKINGLIST!#REF!</f>
        <v>#REF!</v>
      </c>
      <c r="I54" s="122" t="e">
        <f>PACKINGLIST!#REF!</f>
        <v>#REF!</v>
      </c>
    </row>
    <row r="55" spans="1:9" s="121" customFormat="1">
      <c r="A55" s="121" t="e">
        <f>'HỢP ĐỒNG'!#REF!</f>
        <v>#REF!</v>
      </c>
      <c r="B55" s="121" t="e">
        <f>'HỢP ĐỒNG'!#REF!</f>
        <v>#REF!</v>
      </c>
      <c r="C55" s="141" t="e">
        <f>'HỢP ĐỒNG'!#REF!</f>
        <v>#REF!</v>
      </c>
      <c r="D55" s="121" t="e">
        <f>'HỢP ĐỒNG'!#REF!</f>
        <v>#REF!</v>
      </c>
      <c r="E55" s="122" t="e">
        <f>'HỢP ĐỒNG'!#REF!</f>
        <v>#REF!</v>
      </c>
      <c r="F55" s="131" t="e">
        <f>PACKINGLIST!#REF!</f>
        <v>#REF!</v>
      </c>
      <c r="G55" s="131" t="e">
        <f>PACKINGLIST!#REF!</f>
        <v>#REF!</v>
      </c>
      <c r="H55" s="122" t="e">
        <f>PACKINGLIST!#REF!</f>
        <v>#REF!</v>
      </c>
      <c r="I55" s="122" t="e">
        <f>PACKINGLIST!#REF!</f>
        <v>#REF!</v>
      </c>
    </row>
    <row r="56" spans="1:9" s="121" customFormat="1">
      <c r="A56" s="121" t="e">
        <f>'HỢP ĐỒNG'!#REF!</f>
        <v>#REF!</v>
      </c>
      <c r="B56" s="121" t="e">
        <f>'HỢP ĐỒNG'!#REF!</f>
        <v>#REF!</v>
      </c>
      <c r="C56" s="141" t="e">
        <f>'HỢP ĐỒNG'!#REF!</f>
        <v>#REF!</v>
      </c>
      <c r="D56" s="121" t="e">
        <f>'HỢP ĐỒNG'!#REF!</f>
        <v>#REF!</v>
      </c>
      <c r="E56" s="122" t="e">
        <f>'HỢP ĐỒNG'!#REF!</f>
        <v>#REF!</v>
      </c>
      <c r="F56" s="450" t="e">
        <f>PACKINGLIST!#REF!</f>
        <v>#REF!</v>
      </c>
      <c r="G56" s="450" t="e">
        <f>PACKINGLIST!#REF!</f>
        <v>#REF!</v>
      </c>
      <c r="H56" s="122" t="e">
        <f>PACKINGLIST!#REF!</f>
        <v>#REF!</v>
      </c>
      <c r="I56" s="122" t="e">
        <f>PACKINGLIST!#REF!</f>
        <v>#REF!</v>
      </c>
    </row>
    <row r="57" spans="1:9" s="121" customFormat="1">
      <c r="A57" s="121" t="e">
        <f>'HỢP ĐỒNG'!#REF!</f>
        <v>#REF!</v>
      </c>
      <c r="B57" s="121" t="e">
        <f>'HỢP ĐỒNG'!#REF!</f>
        <v>#REF!</v>
      </c>
      <c r="C57" s="141" t="e">
        <f>'HỢP ĐỒNG'!#REF!</f>
        <v>#REF!</v>
      </c>
      <c r="D57" s="121" t="e">
        <f>'HỢP ĐỒNG'!#REF!</f>
        <v>#REF!</v>
      </c>
      <c r="E57" s="122" t="e">
        <f>'HỢP ĐỒNG'!#REF!</f>
        <v>#REF!</v>
      </c>
      <c r="F57" s="451"/>
      <c r="G57" s="451"/>
      <c r="H57" s="122" t="e">
        <f>PACKINGLIST!#REF!</f>
        <v>#REF!</v>
      </c>
      <c r="I57" s="122" t="e">
        <f>PACKINGLIST!#REF!</f>
        <v>#REF!</v>
      </c>
    </row>
    <row r="58" spans="1:9" s="121" customFormat="1">
      <c r="A58" s="121" t="e">
        <f>'HỢP ĐỒNG'!#REF!</f>
        <v>#REF!</v>
      </c>
      <c r="B58" s="121" t="e">
        <f>'HỢP ĐỒNG'!#REF!</f>
        <v>#REF!</v>
      </c>
      <c r="C58" s="141" t="e">
        <f>'HỢP ĐỒNG'!#REF!</f>
        <v>#REF!</v>
      </c>
      <c r="D58" s="121" t="e">
        <f>'HỢP ĐỒNG'!#REF!</f>
        <v>#REF!</v>
      </c>
      <c r="E58" s="122" t="e">
        <f>'HỢP ĐỒNG'!#REF!</f>
        <v>#REF!</v>
      </c>
      <c r="F58" s="451"/>
      <c r="G58" s="451"/>
      <c r="H58" s="122" t="e">
        <f>PACKINGLIST!#REF!</f>
        <v>#REF!</v>
      </c>
      <c r="I58" s="122" t="e">
        <f>PACKINGLIST!#REF!</f>
        <v>#REF!</v>
      </c>
    </row>
    <row r="59" spans="1:9" s="121" customFormat="1">
      <c r="A59" s="121" t="e">
        <f>'HỢP ĐỒNG'!#REF!</f>
        <v>#REF!</v>
      </c>
      <c r="B59" s="121" t="e">
        <f>'HỢP ĐỒNG'!#REF!</f>
        <v>#REF!</v>
      </c>
      <c r="C59" s="141" t="e">
        <f>'HỢP ĐỒNG'!#REF!</f>
        <v>#REF!</v>
      </c>
      <c r="D59" s="121" t="e">
        <f>'HỢP ĐỒNG'!#REF!</f>
        <v>#REF!</v>
      </c>
      <c r="E59" s="122" t="e">
        <f>'HỢP ĐỒNG'!#REF!</f>
        <v>#REF!</v>
      </c>
      <c r="F59" s="451"/>
      <c r="G59" s="451"/>
      <c r="H59" s="122" t="e">
        <f>PACKINGLIST!#REF!</f>
        <v>#REF!</v>
      </c>
      <c r="I59" s="122" t="e">
        <f>PACKINGLIST!#REF!</f>
        <v>#REF!</v>
      </c>
    </row>
    <row r="60" spans="1:9" s="121" customFormat="1">
      <c r="A60" s="121" t="e">
        <f>'HỢP ĐỒNG'!#REF!</f>
        <v>#REF!</v>
      </c>
      <c r="B60" s="121" t="e">
        <f>'HỢP ĐỒNG'!#REF!</f>
        <v>#REF!</v>
      </c>
      <c r="C60" s="141" t="e">
        <f>'HỢP ĐỒNG'!#REF!</f>
        <v>#REF!</v>
      </c>
      <c r="D60" s="121" t="e">
        <f>'HỢP ĐỒNG'!#REF!</f>
        <v>#REF!</v>
      </c>
      <c r="E60" s="122" t="e">
        <f>'HỢP ĐỒNG'!#REF!</f>
        <v>#REF!</v>
      </c>
      <c r="F60" s="451"/>
      <c r="G60" s="451"/>
      <c r="H60" s="122" t="e">
        <f>PACKINGLIST!#REF!</f>
        <v>#REF!</v>
      </c>
      <c r="I60" s="122" t="e">
        <f>PACKINGLIST!#REF!</f>
        <v>#REF!</v>
      </c>
    </row>
    <row r="61" spans="1:9" s="121" customFormat="1">
      <c r="A61" s="121" t="e">
        <f>'HỢP ĐỒNG'!#REF!</f>
        <v>#REF!</v>
      </c>
      <c r="B61" s="121" t="e">
        <f>'HỢP ĐỒNG'!#REF!</f>
        <v>#REF!</v>
      </c>
      <c r="C61" s="141" t="e">
        <f>'HỢP ĐỒNG'!#REF!</f>
        <v>#REF!</v>
      </c>
      <c r="D61" s="121" t="e">
        <f>'HỢP ĐỒNG'!#REF!</f>
        <v>#REF!</v>
      </c>
      <c r="E61" s="122" t="e">
        <f>'HỢP ĐỒNG'!#REF!</f>
        <v>#REF!</v>
      </c>
      <c r="F61" s="451"/>
      <c r="G61" s="451"/>
      <c r="H61" s="122" t="e">
        <f>PACKINGLIST!#REF!</f>
        <v>#REF!</v>
      </c>
      <c r="I61" s="122" t="e">
        <f>PACKINGLIST!#REF!</f>
        <v>#REF!</v>
      </c>
    </row>
    <row r="62" spans="1:9" s="121" customFormat="1">
      <c r="A62" s="121" t="e">
        <f>'HỢP ĐỒNG'!#REF!</f>
        <v>#REF!</v>
      </c>
      <c r="B62" s="121" t="e">
        <f>'HỢP ĐỒNG'!#REF!</f>
        <v>#REF!</v>
      </c>
      <c r="C62" s="141" t="e">
        <f>'HỢP ĐỒNG'!#REF!</f>
        <v>#REF!</v>
      </c>
      <c r="D62" s="121" t="e">
        <f>'HỢP ĐỒNG'!#REF!</f>
        <v>#REF!</v>
      </c>
      <c r="E62" s="122" t="e">
        <f>'HỢP ĐỒNG'!#REF!</f>
        <v>#REF!</v>
      </c>
      <c r="F62" s="452"/>
      <c r="G62" s="452"/>
      <c r="H62" s="122" t="e">
        <f>PACKINGLIST!#REF!</f>
        <v>#REF!</v>
      </c>
      <c r="I62" s="122" t="e">
        <f>PACKINGLIST!#REF!</f>
        <v>#REF!</v>
      </c>
    </row>
    <row r="63" spans="1:9" s="121" customFormat="1">
      <c r="A63" s="121" t="e">
        <f>'HỢP ĐỒNG'!#REF!</f>
        <v>#REF!</v>
      </c>
      <c r="B63" s="121" t="e">
        <f>'HỢP ĐỒNG'!#REF!</f>
        <v>#REF!</v>
      </c>
      <c r="C63" s="141" t="e">
        <f>'HỢP ĐỒNG'!#REF!</f>
        <v>#REF!</v>
      </c>
      <c r="D63" s="121" t="e">
        <f>'HỢP ĐỒNG'!#REF!</f>
        <v>#REF!</v>
      </c>
      <c r="E63" s="122" t="e">
        <f>'HỢP ĐỒNG'!#REF!</f>
        <v>#REF!</v>
      </c>
      <c r="F63" s="131" t="e">
        <f>PACKINGLIST!#REF!</f>
        <v>#REF!</v>
      </c>
      <c r="G63" s="131" t="e">
        <f>PACKINGLIST!#REF!</f>
        <v>#REF!</v>
      </c>
      <c r="H63" s="122" t="e">
        <f>PACKINGLIST!#REF!</f>
        <v>#REF!</v>
      </c>
      <c r="I63" s="122" t="e">
        <f>PACKINGLIST!#REF!</f>
        <v>#REF!</v>
      </c>
    </row>
    <row r="64" spans="1:9" s="121" customFormat="1">
      <c r="A64" s="121" t="e">
        <f>'HỢP ĐỒNG'!#REF!</f>
        <v>#REF!</v>
      </c>
      <c r="B64" s="121" t="e">
        <f>'HỢP ĐỒNG'!#REF!</f>
        <v>#REF!</v>
      </c>
      <c r="C64" s="141" t="e">
        <f>'HỢP ĐỒNG'!#REF!</f>
        <v>#REF!</v>
      </c>
      <c r="D64" s="121" t="e">
        <f>'HỢP ĐỒNG'!#REF!</f>
        <v>#REF!</v>
      </c>
      <c r="E64" s="122" t="e">
        <f>'HỢP ĐỒNG'!#REF!</f>
        <v>#REF!</v>
      </c>
      <c r="F64" s="131" t="e">
        <f>PACKINGLIST!#REF!</f>
        <v>#REF!</v>
      </c>
      <c r="G64" s="131" t="e">
        <f>PACKINGLIST!#REF!</f>
        <v>#REF!</v>
      </c>
      <c r="H64" s="122" t="e">
        <f>PACKINGLIST!#REF!</f>
        <v>#REF!</v>
      </c>
      <c r="I64" s="122" t="e">
        <f>PACKINGLIST!#REF!</f>
        <v>#REF!</v>
      </c>
    </row>
    <row r="65" spans="1:9" s="121" customFormat="1">
      <c r="A65" s="447" t="s">
        <v>96</v>
      </c>
      <c r="B65" s="448"/>
      <c r="C65" s="448"/>
      <c r="D65" s="448"/>
      <c r="E65" s="448"/>
      <c r="F65" s="449"/>
      <c r="G65" s="127">
        <f>PACKINGLIST!F137</f>
        <v>0</v>
      </c>
      <c r="H65" s="128">
        <f>PACKINGLIST!G137</f>
        <v>29018</v>
      </c>
      <c r="I65" s="128">
        <f>PACKINGLIST!H137</f>
        <v>31304.400000000001</v>
      </c>
    </row>
  </sheetData>
  <mergeCells count="10">
    <mergeCell ref="A65:F65"/>
    <mergeCell ref="G4:G6"/>
    <mergeCell ref="F4:F6"/>
    <mergeCell ref="G23:G26"/>
    <mergeCell ref="F23:F26"/>
    <mergeCell ref="G29:G31"/>
    <mergeCell ref="G46:G49"/>
    <mergeCell ref="G50:G53"/>
    <mergeCell ref="G56:G62"/>
    <mergeCell ref="F56:F62"/>
  </mergeCells>
  <pageMargins left="0" right="0" top="0" bottom="0" header="0.31496062992125984" footer="0.31496062992125984"/>
  <pageSetup paperSize="9"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EE486-1084-464F-8530-5B8B2084E0BB}">
  <dimension ref="A1:H51"/>
  <sheetViews>
    <sheetView topLeftCell="A41" workbookViewId="0">
      <selection activeCell="A52" sqref="A52:IV74"/>
    </sheetView>
  </sheetViews>
  <sheetFormatPr defaultRowHeight="15.75"/>
  <cols>
    <col min="1" max="1" width="9.140625" style="160"/>
    <col min="2" max="2" width="19.28515625" style="161" bestFit="1" customWidth="1"/>
    <col min="3" max="3" width="12.5703125" style="159" customWidth="1"/>
    <col min="4" max="4" width="50.140625" style="159" customWidth="1"/>
    <col min="5" max="5" width="12.85546875" style="159" bestFit="1" customWidth="1"/>
    <col min="6" max="6" width="18.7109375" style="159" bestFit="1" customWidth="1"/>
    <col min="7" max="7" width="18.140625" style="159" bestFit="1" customWidth="1"/>
    <col min="8" max="8" width="23.85546875" style="159" bestFit="1" customWidth="1"/>
    <col min="9" max="16384" width="9.140625" style="159"/>
  </cols>
  <sheetData>
    <row r="1" spans="1:8" s="157" customFormat="1" ht="15">
      <c r="A1" s="155" t="s">
        <v>6</v>
      </c>
      <c r="B1" s="156" t="s">
        <v>103</v>
      </c>
      <c r="C1" s="155" t="s">
        <v>104</v>
      </c>
      <c r="D1" s="155" t="s">
        <v>105</v>
      </c>
      <c r="E1" s="155" t="s">
        <v>106</v>
      </c>
      <c r="F1" s="155" t="s">
        <v>107</v>
      </c>
      <c r="G1" s="155" t="s">
        <v>108</v>
      </c>
      <c r="H1" s="155" t="s">
        <v>109</v>
      </c>
    </row>
    <row r="2" spans="1:8">
      <c r="A2" s="158">
        <v>1</v>
      </c>
      <c r="B2" s="158">
        <f>A2</f>
        <v>1</v>
      </c>
      <c r="C2" s="158">
        <f>'HỢP ĐỒNG'!I19</f>
        <v>63071090</v>
      </c>
      <c r="D2" s="158" t="str">
        <f>'HỢP ĐỒNG'!C19</f>
        <v>Khăn lau bụi dùng để lau xe hơi, chất liệu vải dệt kim từ sợi polyester, KT:(30*30)cm, không hiệu, NSX: Qingdao Tao Hui Industrial. Mới 100%</v>
      </c>
      <c r="E2" s="158">
        <f>'HỢP ĐỒNG'!E19</f>
        <v>20000</v>
      </c>
      <c r="F2" s="158" t="str">
        <f>'nhập máy'!G2</f>
        <v>PCE</v>
      </c>
      <c r="G2" s="158">
        <f>PACKINGLIST!G13</f>
        <v>280</v>
      </c>
      <c r="H2" s="158" t="s">
        <v>80</v>
      </c>
    </row>
    <row r="3" spans="1:8">
      <c r="A3" s="158">
        <f>A2+1</f>
        <v>2</v>
      </c>
      <c r="B3" s="158">
        <f>A3</f>
        <v>2</v>
      </c>
      <c r="C3" s="158" t="e">
        <f>'HỢP ĐỒNG'!#REF!</f>
        <v>#REF!</v>
      </c>
      <c r="D3" s="158" t="e">
        <f>'HỢP ĐỒNG'!#REF!</f>
        <v>#REF!</v>
      </c>
      <c r="E3" s="158" t="e">
        <f>'HỢP ĐỒNG'!#REF!</f>
        <v>#REF!</v>
      </c>
      <c r="F3" s="158" t="str">
        <f>'nhập máy'!G6</f>
        <v>PCE</v>
      </c>
      <c r="G3" s="158" t="e">
        <f>PACKINGLIST!#REF!</f>
        <v>#REF!</v>
      </c>
      <c r="H3" s="158" t="s">
        <v>80</v>
      </c>
    </row>
    <row r="4" spans="1:8">
      <c r="A4" s="158">
        <f t="shared" ref="A4:A51" si="0">A3+1</f>
        <v>3</v>
      </c>
      <c r="B4" s="158">
        <f t="shared" ref="B4:B51" si="1">A4</f>
        <v>3</v>
      </c>
      <c r="C4" s="158" t="e">
        <f>'HỢP ĐỒNG'!#REF!</f>
        <v>#REF!</v>
      </c>
      <c r="D4" s="158" t="e">
        <f>'HỢP ĐỒNG'!#REF!</f>
        <v>#REF!</v>
      </c>
      <c r="E4" s="158" t="e">
        <f>'HỢP ĐỒNG'!#REF!</f>
        <v>#REF!</v>
      </c>
      <c r="F4" s="158" t="str">
        <f>'nhập máy'!G7</f>
        <v>PCE</v>
      </c>
      <c r="G4" s="158" t="e">
        <f>PACKINGLIST!#REF!</f>
        <v>#REF!</v>
      </c>
      <c r="H4" s="158" t="s">
        <v>80</v>
      </c>
    </row>
    <row r="5" spans="1:8">
      <c r="A5" s="158">
        <f t="shared" si="0"/>
        <v>4</v>
      </c>
      <c r="B5" s="158">
        <f t="shared" si="1"/>
        <v>4</v>
      </c>
      <c r="C5" s="158" t="e">
        <f>'HỢP ĐỒNG'!#REF!</f>
        <v>#REF!</v>
      </c>
      <c r="D5" s="158" t="e">
        <f>'HỢP ĐỒNG'!#REF!</f>
        <v>#REF!</v>
      </c>
      <c r="E5" s="158" t="e">
        <f>'HỢP ĐỒNG'!#REF!</f>
        <v>#REF!</v>
      </c>
      <c r="F5" s="158" t="str">
        <f>'nhập máy'!G8</f>
        <v>PCE</v>
      </c>
      <c r="G5" s="158" t="e">
        <f>PACKINGLIST!#REF!</f>
        <v>#REF!</v>
      </c>
      <c r="H5" s="158" t="s">
        <v>80</v>
      </c>
    </row>
    <row r="6" spans="1:8">
      <c r="A6" s="158">
        <f t="shared" si="0"/>
        <v>5</v>
      </c>
      <c r="B6" s="158">
        <f t="shared" si="1"/>
        <v>5</v>
      </c>
      <c r="C6" s="158" t="e">
        <f>'HỢP ĐỒNG'!#REF!</f>
        <v>#REF!</v>
      </c>
      <c r="D6" s="158" t="e">
        <f>'HỢP ĐỒNG'!#REF!</f>
        <v>#REF!</v>
      </c>
      <c r="E6" s="158" t="e">
        <f>'HỢP ĐỒNG'!#REF!</f>
        <v>#REF!</v>
      </c>
      <c r="F6" s="158" t="str">
        <f>'nhập máy'!G9</f>
        <v>PCE</v>
      </c>
      <c r="G6" s="158" t="e">
        <f>PACKINGLIST!#REF!</f>
        <v>#REF!</v>
      </c>
      <c r="H6" s="158" t="s">
        <v>80</v>
      </c>
    </row>
    <row r="7" spans="1:8">
      <c r="A7" s="158">
        <f t="shared" si="0"/>
        <v>6</v>
      </c>
      <c r="B7" s="158">
        <f t="shared" si="1"/>
        <v>6</v>
      </c>
      <c r="C7" s="158" t="e">
        <f>'HỢP ĐỒNG'!#REF!</f>
        <v>#REF!</v>
      </c>
      <c r="D7" s="158" t="e">
        <f>'HỢP ĐỒNG'!#REF!</f>
        <v>#REF!</v>
      </c>
      <c r="E7" s="158" t="e">
        <f>'HỢP ĐỒNG'!#REF!</f>
        <v>#REF!</v>
      </c>
      <c r="F7" s="158" t="str">
        <f>'nhập máy'!G10</f>
        <v>PCE</v>
      </c>
      <c r="G7" s="158" t="e">
        <f>PACKINGLIST!#REF!</f>
        <v>#REF!</v>
      </c>
      <c r="H7" s="158" t="s">
        <v>80</v>
      </c>
    </row>
    <row r="8" spans="1:8">
      <c r="A8" s="158">
        <f t="shared" si="0"/>
        <v>7</v>
      </c>
      <c r="B8" s="158">
        <f t="shared" si="1"/>
        <v>7</v>
      </c>
      <c r="C8" s="158" t="e">
        <f>'HỢP ĐỒNG'!#REF!</f>
        <v>#REF!</v>
      </c>
      <c r="D8" s="158" t="e">
        <f>'HỢP ĐỒNG'!#REF!</f>
        <v>#REF!</v>
      </c>
      <c r="E8" s="158" t="e">
        <f>'HỢP ĐỒNG'!#REF!</f>
        <v>#REF!</v>
      </c>
      <c r="F8" s="158" t="str">
        <f>'nhập máy'!G11</f>
        <v>PCE</v>
      </c>
      <c r="G8" s="158" t="e">
        <f>PACKINGLIST!#REF!</f>
        <v>#REF!</v>
      </c>
      <c r="H8" s="158" t="s">
        <v>80</v>
      </c>
    </row>
    <row r="9" spans="1:8">
      <c r="A9" s="158">
        <f t="shared" si="0"/>
        <v>8</v>
      </c>
      <c r="B9" s="158">
        <f t="shared" si="1"/>
        <v>8</v>
      </c>
      <c r="C9" s="158" t="e">
        <f>'HỢP ĐỒNG'!#REF!</f>
        <v>#REF!</v>
      </c>
      <c r="D9" s="158" t="e">
        <f>'HỢP ĐỒNG'!#REF!</f>
        <v>#REF!</v>
      </c>
      <c r="E9" s="158" t="e">
        <f>'HỢP ĐỒNG'!#REF!</f>
        <v>#REF!</v>
      </c>
      <c r="F9" s="158" t="str">
        <f>'nhập máy'!G12</f>
        <v>PCE</v>
      </c>
      <c r="G9" s="158" t="e">
        <f>PACKINGLIST!#REF!</f>
        <v>#REF!</v>
      </c>
      <c r="H9" s="158" t="s">
        <v>80</v>
      </c>
    </row>
    <row r="10" spans="1:8">
      <c r="A10" s="158">
        <f t="shared" si="0"/>
        <v>9</v>
      </c>
      <c r="B10" s="158">
        <f t="shared" si="1"/>
        <v>9</v>
      </c>
      <c r="C10" s="158" t="e">
        <f>'HỢP ĐỒNG'!#REF!</f>
        <v>#REF!</v>
      </c>
      <c r="D10" s="158" t="e">
        <f>'HỢP ĐỒNG'!#REF!</f>
        <v>#REF!</v>
      </c>
      <c r="E10" s="158" t="e">
        <f>'HỢP ĐỒNG'!#REF!</f>
        <v>#REF!</v>
      </c>
      <c r="F10" s="158" t="e">
        <f>'nhập máy'!#REF!</f>
        <v>#REF!</v>
      </c>
      <c r="G10" s="158" t="e">
        <f>PACKINGLIST!#REF!</f>
        <v>#REF!</v>
      </c>
      <c r="H10" s="158" t="s">
        <v>80</v>
      </c>
    </row>
    <row r="11" spans="1:8">
      <c r="A11" s="158">
        <f t="shared" si="0"/>
        <v>10</v>
      </c>
      <c r="B11" s="158">
        <f t="shared" si="1"/>
        <v>10</v>
      </c>
      <c r="C11" s="158" t="e">
        <f>'HỢP ĐỒNG'!#REF!</f>
        <v>#REF!</v>
      </c>
      <c r="D11" s="158" t="e">
        <f>'HỢP ĐỒNG'!#REF!</f>
        <v>#REF!</v>
      </c>
      <c r="E11" s="158" t="e">
        <f>'HỢP ĐỒNG'!#REF!</f>
        <v>#REF!</v>
      </c>
      <c r="F11" s="158" t="str">
        <f>'nhập máy'!G13</f>
        <v>PCE</v>
      </c>
      <c r="G11" s="158" t="e">
        <f>PACKINGLIST!#REF!</f>
        <v>#REF!</v>
      </c>
      <c r="H11" s="158" t="s">
        <v>80</v>
      </c>
    </row>
    <row r="12" spans="1:8">
      <c r="A12" s="158">
        <f t="shared" si="0"/>
        <v>11</v>
      </c>
      <c r="B12" s="158">
        <f t="shared" si="1"/>
        <v>11</v>
      </c>
      <c r="C12" s="158" t="e">
        <f>'HỢP ĐỒNG'!#REF!</f>
        <v>#REF!</v>
      </c>
      <c r="D12" s="158" t="e">
        <f>'HỢP ĐỒNG'!#REF!</f>
        <v>#REF!</v>
      </c>
      <c r="E12" s="158" t="e">
        <f>'HỢP ĐỒNG'!#REF!</f>
        <v>#REF!</v>
      </c>
      <c r="F12" s="158" t="str">
        <f>'nhập máy'!G14</f>
        <v>PCE</v>
      </c>
      <c r="G12" s="158" t="e">
        <f>PACKINGLIST!#REF!</f>
        <v>#REF!</v>
      </c>
      <c r="H12" s="158" t="s">
        <v>80</v>
      </c>
    </row>
    <row r="13" spans="1:8">
      <c r="A13" s="158">
        <f t="shared" si="0"/>
        <v>12</v>
      </c>
      <c r="B13" s="158">
        <f t="shared" si="1"/>
        <v>12</v>
      </c>
      <c r="C13" s="158" t="e">
        <f>'HỢP ĐỒNG'!#REF!</f>
        <v>#REF!</v>
      </c>
      <c r="D13" s="158" t="e">
        <f>'HỢP ĐỒNG'!#REF!</f>
        <v>#REF!</v>
      </c>
      <c r="E13" s="158" t="e">
        <f>'HỢP ĐỒNG'!#REF!</f>
        <v>#REF!</v>
      </c>
      <c r="F13" s="158" t="str">
        <f>'nhập máy'!G15</f>
        <v>PCE</v>
      </c>
      <c r="G13" s="158" t="e">
        <f>PACKINGLIST!#REF!</f>
        <v>#REF!</v>
      </c>
      <c r="H13" s="158" t="s">
        <v>80</v>
      </c>
    </row>
    <row r="14" spans="1:8">
      <c r="A14" s="158">
        <f t="shared" si="0"/>
        <v>13</v>
      </c>
      <c r="B14" s="158">
        <f t="shared" si="1"/>
        <v>13</v>
      </c>
      <c r="C14" s="158" t="e">
        <f>'HỢP ĐỒNG'!#REF!</f>
        <v>#REF!</v>
      </c>
      <c r="D14" s="158" t="e">
        <f>'HỢP ĐỒNG'!#REF!</f>
        <v>#REF!</v>
      </c>
      <c r="E14" s="158" t="e">
        <f>'HỢP ĐỒNG'!#REF!</f>
        <v>#REF!</v>
      </c>
      <c r="F14" s="158" t="str">
        <f>'nhập máy'!G16</f>
        <v>PCE</v>
      </c>
      <c r="G14" s="158" t="e">
        <f>PACKINGLIST!#REF!</f>
        <v>#REF!</v>
      </c>
      <c r="H14" s="158" t="s">
        <v>80</v>
      </c>
    </row>
    <row r="15" spans="1:8">
      <c r="A15" s="158">
        <f t="shared" si="0"/>
        <v>14</v>
      </c>
      <c r="B15" s="158">
        <f t="shared" si="1"/>
        <v>14</v>
      </c>
      <c r="C15" s="158" t="e">
        <f>'HỢP ĐỒNG'!#REF!</f>
        <v>#REF!</v>
      </c>
      <c r="D15" s="158" t="e">
        <f>'HỢP ĐỒNG'!#REF!</f>
        <v>#REF!</v>
      </c>
      <c r="E15" s="158" t="e">
        <f>'HỢP ĐỒNG'!#REF!</f>
        <v>#REF!</v>
      </c>
      <c r="F15" s="158" t="str">
        <f>'nhập máy'!G17</f>
        <v>PCE</v>
      </c>
      <c r="G15" s="158" t="e">
        <f>PACKINGLIST!#REF!</f>
        <v>#REF!</v>
      </c>
      <c r="H15" s="158" t="s">
        <v>80</v>
      </c>
    </row>
    <row r="16" spans="1:8">
      <c r="A16" s="158">
        <f t="shared" si="0"/>
        <v>15</v>
      </c>
      <c r="B16" s="158">
        <f t="shared" si="1"/>
        <v>15</v>
      </c>
      <c r="C16" s="158" t="e">
        <f>'HỢP ĐỒNG'!#REF!</f>
        <v>#REF!</v>
      </c>
      <c r="D16" s="158" t="e">
        <f>'HỢP ĐỒNG'!#REF!</f>
        <v>#REF!</v>
      </c>
      <c r="E16" s="158" t="e">
        <f>'HỢP ĐỒNG'!#REF!</f>
        <v>#REF!</v>
      </c>
      <c r="F16" s="158" t="str">
        <f>'nhập máy'!G18</f>
        <v>PCE</v>
      </c>
      <c r="G16" s="158" t="e">
        <f>PACKINGLIST!#REF!</f>
        <v>#REF!</v>
      </c>
      <c r="H16" s="158" t="s">
        <v>80</v>
      </c>
    </row>
    <row r="17" spans="1:8">
      <c r="A17" s="158">
        <f t="shared" si="0"/>
        <v>16</v>
      </c>
      <c r="B17" s="158">
        <f t="shared" si="1"/>
        <v>16</v>
      </c>
      <c r="C17" s="158" t="e">
        <f>'HỢP ĐỒNG'!#REF!</f>
        <v>#REF!</v>
      </c>
      <c r="D17" s="158" t="e">
        <f>'HỢP ĐỒNG'!#REF!</f>
        <v>#REF!</v>
      </c>
      <c r="E17" s="158" t="e">
        <f>'HỢP ĐỒNG'!#REF!</f>
        <v>#REF!</v>
      </c>
      <c r="F17" s="158" t="str">
        <f>'nhập máy'!G20</f>
        <v>PCE</v>
      </c>
      <c r="G17" s="158" t="e">
        <f>PACKINGLIST!#REF!</f>
        <v>#REF!</v>
      </c>
      <c r="H17" s="158" t="s">
        <v>80</v>
      </c>
    </row>
    <row r="18" spans="1:8">
      <c r="A18" s="158">
        <f t="shared" si="0"/>
        <v>17</v>
      </c>
      <c r="B18" s="158">
        <f t="shared" si="1"/>
        <v>17</v>
      </c>
      <c r="C18" s="158" t="e">
        <f>'HỢP ĐỒNG'!#REF!</f>
        <v>#REF!</v>
      </c>
      <c r="D18" s="158" t="e">
        <f>'HỢP ĐỒNG'!#REF!</f>
        <v>#REF!</v>
      </c>
      <c r="E18" s="158" t="e">
        <f>'HỢP ĐỒNG'!#REF!</f>
        <v>#REF!</v>
      </c>
      <c r="F18" s="158" t="str">
        <f>'nhập máy'!G21</f>
        <v>PCE</v>
      </c>
      <c r="G18" s="158" t="e">
        <f>PACKINGLIST!#REF!</f>
        <v>#REF!</v>
      </c>
      <c r="H18" s="158" t="s">
        <v>80</v>
      </c>
    </row>
    <row r="19" spans="1:8">
      <c r="A19" s="158">
        <f t="shared" si="0"/>
        <v>18</v>
      </c>
      <c r="B19" s="158">
        <f t="shared" si="1"/>
        <v>18</v>
      </c>
      <c r="C19" s="158" t="e">
        <f>'HỢP ĐỒNG'!#REF!</f>
        <v>#REF!</v>
      </c>
      <c r="D19" s="158" t="e">
        <f>'HỢP ĐỒNG'!#REF!</f>
        <v>#REF!</v>
      </c>
      <c r="E19" s="158" t="e">
        <f>'HỢP ĐỒNG'!#REF!</f>
        <v>#REF!</v>
      </c>
      <c r="F19" s="158" t="str">
        <f>'nhập máy'!G22</f>
        <v>PCE</v>
      </c>
      <c r="G19" s="158" t="e">
        <f>PACKINGLIST!#REF!</f>
        <v>#REF!</v>
      </c>
      <c r="H19" s="158" t="s">
        <v>80</v>
      </c>
    </row>
    <row r="20" spans="1:8">
      <c r="A20" s="158">
        <f t="shared" si="0"/>
        <v>19</v>
      </c>
      <c r="B20" s="158">
        <f t="shared" si="1"/>
        <v>19</v>
      </c>
      <c r="C20" s="158" t="e">
        <f>'HỢP ĐỒNG'!#REF!</f>
        <v>#REF!</v>
      </c>
      <c r="D20" s="158" t="e">
        <f>'HỢP ĐỒNG'!#REF!</f>
        <v>#REF!</v>
      </c>
      <c r="E20" s="158" t="e">
        <f>'HỢP ĐỒNG'!#REF!</f>
        <v>#REF!</v>
      </c>
      <c r="F20" s="158" t="str">
        <f>'nhập máy'!G23</f>
        <v>PCE</v>
      </c>
      <c r="G20" s="158" t="e">
        <f>PACKINGLIST!#REF!</f>
        <v>#REF!</v>
      </c>
      <c r="H20" s="158" t="s">
        <v>80</v>
      </c>
    </row>
    <row r="21" spans="1:8">
      <c r="A21" s="158">
        <f t="shared" si="0"/>
        <v>20</v>
      </c>
      <c r="B21" s="158">
        <f t="shared" si="1"/>
        <v>20</v>
      </c>
      <c r="C21" s="158" t="e">
        <f>'HỢP ĐỒNG'!#REF!</f>
        <v>#REF!</v>
      </c>
      <c r="D21" s="158" t="e">
        <f>'HỢP ĐỒNG'!#REF!</f>
        <v>#REF!</v>
      </c>
      <c r="E21" s="158" t="e">
        <f>'HỢP ĐỒNG'!#REF!</f>
        <v>#REF!</v>
      </c>
      <c r="F21" s="158" t="str">
        <f>'nhập máy'!G24</f>
        <v>PCE</v>
      </c>
      <c r="G21" s="158" t="e">
        <f>PACKINGLIST!#REF!</f>
        <v>#REF!</v>
      </c>
      <c r="H21" s="158" t="s">
        <v>80</v>
      </c>
    </row>
    <row r="22" spans="1:8">
      <c r="A22" s="158">
        <f t="shared" si="0"/>
        <v>21</v>
      </c>
      <c r="B22" s="158">
        <f t="shared" si="1"/>
        <v>21</v>
      </c>
      <c r="C22" s="158" t="e">
        <f>'HỢP ĐỒNG'!#REF!</f>
        <v>#REF!</v>
      </c>
      <c r="D22" s="158" t="e">
        <f>'HỢP ĐỒNG'!#REF!</f>
        <v>#REF!</v>
      </c>
      <c r="E22" s="158" t="e">
        <f>'HỢP ĐỒNG'!#REF!</f>
        <v>#REF!</v>
      </c>
      <c r="F22" s="158" t="str">
        <f>'nhập máy'!G25</f>
        <v>PCE</v>
      </c>
      <c r="G22" s="158" t="e">
        <f>PACKINGLIST!#REF!</f>
        <v>#REF!</v>
      </c>
      <c r="H22" s="158" t="s">
        <v>80</v>
      </c>
    </row>
    <row r="23" spans="1:8">
      <c r="A23" s="158">
        <f t="shared" si="0"/>
        <v>22</v>
      </c>
      <c r="B23" s="158">
        <f t="shared" si="1"/>
        <v>22</v>
      </c>
      <c r="C23" s="158" t="e">
        <f>'HỢP ĐỒNG'!#REF!</f>
        <v>#REF!</v>
      </c>
      <c r="D23" s="158" t="e">
        <f>'HỢP ĐỒNG'!#REF!</f>
        <v>#REF!</v>
      </c>
      <c r="E23" s="158" t="e">
        <f>'HỢP ĐỒNG'!#REF!</f>
        <v>#REF!</v>
      </c>
      <c r="F23" s="158" t="str">
        <f>'nhập máy'!G26</f>
        <v>PCE</v>
      </c>
      <c r="G23" s="158" t="e">
        <f>PACKINGLIST!#REF!</f>
        <v>#REF!</v>
      </c>
      <c r="H23" s="158" t="s">
        <v>80</v>
      </c>
    </row>
    <row r="24" spans="1:8">
      <c r="A24" s="158">
        <f t="shared" si="0"/>
        <v>23</v>
      </c>
      <c r="B24" s="158">
        <f t="shared" si="1"/>
        <v>23</v>
      </c>
      <c r="C24" s="158" t="e">
        <f>'HỢP ĐỒNG'!#REF!</f>
        <v>#REF!</v>
      </c>
      <c r="D24" s="158" t="e">
        <f>'HỢP ĐỒNG'!#REF!</f>
        <v>#REF!</v>
      </c>
      <c r="E24" s="158" t="e">
        <f>'HỢP ĐỒNG'!#REF!</f>
        <v>#REF!</v>
      </c>
      <c r="F24" s="158" t="e">
        <f>'nhập máy'!#REF!</f>
        <v>#REF!</v>
      </c>
      <c r="G24" s="158" t="e">
        <f>PACKINGLIST!#REF!</f>
        <v>#REF!</v>
      </c>
      <c r="H24" s="158" t="s">
        <v>80</v>
      </c>
    </row>
    <row r="25" spans="1:8">
      <c r="A25" s="158">
        <f t="shared" si="0"/>
        <v>24</v>
      </c>
      <c r="B25" s="158">
        <f t="shared" si="1"/>
        <v>24</v>
      </c>
      <c r="C25" s="158" t="e">
        <f>'HỢP ĐỒNG'!#REF!</f>
        <v>#REF!</v>
      </c>
      <c r="D25" s="158" t="e">
        <f>'HỢP ĐỒNG'!#REF!</f>
        <v>#REF!</v>
      </c>
      <c r="E25" s="158" t="e">
        <f>'HỢP ĐỒNG'!#REF!</f>
        <v>#REF!</v>
      </c>
      <c r="F25" s="158" t="e">
        <f>'nhập máy'!#REF!</f>
        <v>#REF!</v>
      </c>
      <c r="G25" s="158" t="e">
        <f>PACKINGLIST!#REF!</f>
        <v>#REF!</v>
      </c>
      <c r="H25" s="158" t="s">
        <v>80</v>
      </c>
    </row>
    <row r="26" spans="1:8">
      <c r="A26" s="158">
        <f t="shared" si="0"/>
        <v>25</v>
      </c>
      <c r="B26" s="158">
        <f t="shared" si="1"/>
        <v>25</v>
      </c>
      <c r="C26" s="158" t="e">
        <f>'HỢP ĐỒNG'!#REF!</f>
        <v>#REF!</v>
      </c>
      <c r="D26" s="158" t="e">
        <f>'HỢP ĐỒNG'!#REF!</f>
        <v>#REF!</v>
      </c>
      <c r="E26" s="158" t="e">
        <f>'HỢP ĐỒNG'!#REF!</f>
        <v>#REF!</v>
      </c>
      <c r="F26" s="158" t="e">
        <f>'nhập máy'!#REF!</f>
        <v>#REF!</v>
      </c>
      <c r="G26" s="158" t="e">
        <f>PACKINGLIST!#REF!</f>
        <v>#REF!</v>
      </c>
      <c r="H26" s="158" t="s">
        <v>80</v>
      </c>
    </row>
    <row r="27" spans="1:8">
      <c r="A27" s="158">
        <f t="shared" si="0"/>
        <v>26</v>
      </c>
      <c r="B27" s="158">
        <f t="shared" si="1"/>
        <v>26</v>
      </c>
      <c r="C27" s="158" t="e">
        <f>'HỢP ĐỒNG'!#REF!</f>
        <v>#REF!</v>
      </c>
      <c r="D27" s="158" t="e">
        <f>'HỢP ĐỒNG'!#REF!</f>
        <v>#REF!</v>
      </c>
      <c r="E27" s="158" t="e">
        <f>'HỢP ĐỒNG'!#REF!</f>
        <v>#REF!</v>
      </c>
      <c r="F27" s="158" t="e">
        <f>'nhập máy'!#REF!</f>
        <v>#REF!</v>
      </c>
      <c r="G27" s="158" t="e">
        <f>PACKINGLIST!#REF!</f>
        <v>#REF!</v>
      </c>
      <c r="H27" s="158" t="s">
        <v>80</v>
      </c>
    </row>
    <row r="28" spans="1:8">
      <c r="A28" s="158">
        <f t="shared" si="0"/>
        <v>27</v>
      </c>
      <c r="B28" s="158">
        <f t="shared" si="1"/>
        <v>27</v>
      </c>
      <c r="C28" s="158" t="e">
        <f>'HỢP ĐỒNG'!#REF!</f>
        <v>#REF!</v>
      </c>
      <c r="D28" s="158" t="e">
        <f>'HỢP ĐỒNG'!#REF!</f>
        <v>#REF!</v>
      </c>
      <c r="E28" s="158" t="e">
        <f>'HỢP ĐỒNG'!#REF!</f>
        <v>#REF!</v>
      </c>
      <c r="F28" s="158" t="e">
        <f>'nhập máy'!#REF!</f>
        <v>#REF!</v>
      </c>
      <c r="G28" s="158" t="e">
        <f>PACKINGLIST!#REF!</f>
        <v>#REF!</v>
      </c>
      <c r="H28" s="158" t="s">
        <v>80</v>
      </c>
    </row>
    <row r="29" spans="1:8">
      <c r="A29" s="158">
        <f t="shared" si="0"/>
        <v>28</v>
      </c>
      <c r="B29" s="158">
        <f t="shared" si="1"/>
        <v>28</v>
      </c>
      <c r="C29" s="158" t="e">
        <f>'HỢP ĐỒNG'!#REF!</f>
        <v>#REF!</v>
      </c>
      <c r="D29" s="158" t="e">
        <f>'HỢP ĐỒNG'!#REF!</f>
        <v>#REF!</v>
      </c>
      <c r="E29" s="158" t="e">
        <f>'HỢP ĐỒNG'!#REF!</f>
        <v>#REF!</v>
      </c>
      <c r="F29" s="158" t="e">
        <f>'nhập máy'!#REF!</f>
        <v>#REF!</v>
      </c>
      <c r="G29" s="158" t="e">
        <f>PACKINGLIST!#REF!</f>
        <v>#REF!</v>
      </c>
      <c r="H29" s="158" t="s">
        <v>80</v>
      </c>
    </row>
    <row r="30" spans="1:8">
      <c r="A30" s="158">
        <f t="shared" si="0"/>
        <v>29</v>
      </c>
      <c r="B30" s="158">
        <f t="shared" si="1"/>
        <v>29</v>
      </c>
      <c r="C30" s="158" t="e">
        <f>'HỢP ĐỒNG'!#REF!</f>
        <v>#REF!</v>
      </c>
      <c r="D30" s="158" t="e">
        <f>'HỢP ĐỒNG'!#REF!</f>
        <v>#REF!</v>
      </c>
      <c r="E30" s="158" t="e">
        <f>'HỢP ĐỒNG'!#REF!</f>
        <v>#REF!</v>
      </c>
      <c r="F30" s="158" t="e">
        <f>'nhập máy'!#REF!</f>
        <v>#REF!</v>
      </c>
      <c r="G30" s="158" t="e">
        <f>PACKINGLIST!#REF!</f>
        <v>#REF!</v>
      </c>
      <c r="H30" s="158" t="s">
        <v>80</v>
      </c>
    </row>
    <row r="31" spans="1:8">
      <c r="A31" s="158">
        <f t="shared" si="0"/>
        <v>30</v>
      </c>
      <c r="B31" s="158">
        <f t="shared" si="1"/>
        <v>30</v>
      </c>
      <c r="C31" s="158" t="e">
        <f>'HỢP ĐỒNG'!#REF!</f>
        <v>#REF!</v>
      </c>
      <c r="D31" s="158" t="e">
        <f>'HỢP ĐỒNG'!#REF!</f>
        <v>#REF!</v>
      </c>
      <c r="E31" s="158" t="e">
        <f>'HỢP ĐỒNG'!#REF!</f>
        <v>#REF!</v>
      </c>
      <c r="F31" s="158" t="e">
        <f>'nhập máy'!#REF!</f>
        <v>#REF!</v>
      </c>
      <c r="G31" s="158" t="e">
        <f>PACKINGLIST!#REF!</f>
        <v>#REF!</v>
      </c>
      <c r="H31" s="158" t="s">
        <v>80</v>
      </c>
    </row>
    <row r="32" spans="1:8">
      <c r="A32" s="158">
        <f t="shared" si="0"/>
        <v>31</v>
      </c>
      <c r="B32" s="158">
        <f t="shared" si="1"/>
        <v>31</v>
      </c>
      <c r="C32" s="158" t="e">
        <f>'HỢP ĐỒNG'!#REF!</f>
        <v>#REF!</v>
      </c>
      <c r="D32" s="158" t="e">
        <f>'HỢP ĐỒNG'!#REF!</f>
        <v>#REF!</v>
      </c>
      <c r="E32" s="158" t="e">
        <f>'HỢP ĐỒNG'!#REF!</f>
        <v>#REF!</v>
      </c>
      <c r="F32" s="158" t="e">
        <f>'nhập máy'!#REF!</f>
        <v>#REF!</v>
      </c>
      <c r="G32" s="158" t="e">
        <f>PACKINGLIST!#REF!</f>
        <v>#REF!</v>
      </c>
      <c r="H32" s="158" t="s">
        <v>80</v>
      </c>
    </row>
    <row r="33" spans="1:8">
      <c r="A33" s="158">
        <f t="shared" si="0"/>
        <v>32</v>
      </c>
      <c r="B33" s="158">
        <f t="shared" si="1"/>
        <v>32</v>
      </c>
      <c r="C33" s="158" t="e">
        <f>'HỢP ĐỒNG'!#REF!</f>
        <v>#REF!</v>
      </c>
      <c r="D33" s="158" t="e">
        <f>'HỢP ĐỒNG'!#REF!</f>
        <v>#REF!</v>
      </c>
      <c r="E33" s="158" t="e">
        <f>'HỢP ĐỒNG'!#REF!</f>
        <v>#REF!</v>
      </c>
      <c r="F33" s="158" t="e">
        <f>'nhập máy'!#REF!</f>
        <v>#REF!</v>
      </c>
      <c r="G33" s="158" t="e">
        <f>PACKINGLIST!#REF!</f>
        <v>#REF!</v>
      </c>
      <c r="H33" s="158" t="s">
        <v>80</v>
      </c>
    </row>
    <row r="34" spans="1:8">
      <c r="A34" s="158">
        <f t="shared" si="0"/>
        <v>33</v>
      </c>
      <c r="B34" s="158">
        <f t="shared" si="1"/>
        <v>33</v>
      </c>
      <c r="C34" s="158" t="e">
        <f>'HỢP ĐỒNG'!#REF!</f>
        <v>#REF!</v>
      </c>
      <c r="D34" s="158" t="e">
        <f>'HỢP ĐỒNG'!#REF!</f>
        <v>#REF!</v>
      </c>
      <c r="E34" s="158" t="e">
        <f>'HỢP ĐỒNG'!#REF!</f>
        <v>#REF!</v>
      </c>
      <c r="F34" s="158" t="e">
        <f>'nhập máy'!#REF!</f>
        <v>#REF!</v>
      </c>
      <c r="G34" s="158" t="e">
        <f>PACKINGLIST!#REF!</f>
        <v>#REF!</v>
      </c>
      <c r="H34" s="158" t="s">
        <v>80</v>
      </c>
    </row>
    <row r="35" spans="1:8">
      <c r="A35" s="158">
        <f t="shared" si="0"/>
        <v>34</v>
      </c>
      <c r="B35" s="158">
        <f t="shared" si="1"/>
        <v>34</v>
      </c>
      <c r="C35" s="158" t="e">
        <f>'HỢP ĐỒNG'!#REF!</f>
        <v>#REF!</v>
      </c>
      <c r="D35" s="158" t="e">
        <f>'HỢP ĐỒNG'!#REF!</f>
        <v>#REF!</v>
      </c>
      <c r="E35" s="158" t="e">
        <f>'HỢP ĐỒNG'!#REF!</f>
        <v>#REF!</v>
      </c>
      <c r="F35" s="158" t="e">
        <f>'nhập máy'!#REF!</f>
        <v>#REF!</v>
      </c>
      <c r="G35" s="158" t="e">
        <f>PACKINGLIST!#REF!</f>
        <v>#REF!</v>
      </c>
      <c r="H35" s="158" t="s">
        <v>80</v>
      </c>
    </row>
    <row r="36" spans="1:8">
      <c r="A36" s="158">
        <f t="shared" si="0"/>
        <v>35</v>
      </c>
      <c r="B36" s="158">
        <f t="shared" si="1"/>
        <v>35</v>
      </c>
      <c r="C36" s="158" t="e">
        <f>'HỢP ĐỒNG'!#REF!</f>
        <v>#REF!</v>
      </c>
      <c r="D36" s="158" t="e">
        <f>'HỢP ĐỒNG'!#REF!</f>
        <v>#REF!</v>
      </c>
      <c r="E36" s="158" t="e">
        <f>'HỢP ĐỒNG'!#REF!</f>
        <v>#REF!</v>
      </c>
      <c r="F36" s="158" t="e">
        <f>'nhập máy'!#REF!</f>
        <v>#REF!</v>
      </c>
      <c r="G36" s="158" t="e">
        <f>PACKINGLIST!#REF!</f>
        <v>#REF!</v>
      </c>
      <c r="H36" s="158" t="s">
        <v>80</v>
      </c>
    </row>
    <row r="37" spans="1:8">
      <c r="A37" s="158">
        <f t="shared" si="0"/>
        <v>36</v>
      </c>
      <c r="B37" s="158">
        <f t="shared" si="1"/>
        <v>36</v>
      </c>
      <c r="C37" s="158" t="e">
        <f>'HỢP ĐỒNG'!#REF!</f>
        <v>#REF!</v>
      </c>
      <c r="D37" s="158" t="e">
        <f>'HỢP ĐỒNG'!#REF!</f>
        <v>#REF!</v>
      </c>
      <c r="E37" s="158" t="e">
        <f>'HỢP ĐỒNG'!#REF!</f>
        <v>#REF!</v>
      </c>
      <c r="F37" s="158" t="e">
        <f>'nhập máy'!#REF!</f>
        <v>#REF!</v>
      </c>
      <c r="G37" s="158" t="e">
        <f>PACKINGLIST!#REF!</f>
        <v>#REF!</v>
      </c>
      <c r="H37" s="158" t="s">
        <v>80</v>
      </c>
    </row>
    <row r="38" spans="1:8">
      <c r="A38" s="158">
        <f t="shared" si="0"/>
        <v>37</v>
      </c>
      <c r="B38" s="158">
        <f t="shared" si="1"/>
        <v>37</v>
      </c>
      <c r="C38" s="158" t="e">
        <f>'HỢP ĐỒNG'!#REF!</f>
        <v>#REF!</v>
      </c>
      <c r="D38" s="158" t="e">
        <f>'HỢP ĐỒNG'!#REF!</f>
        <v>#REF!</v>
      </c>
      <c r="E38" s="158" t="e">
        <f>'HỢP ĐỒNG'!#REF!</f>
        <v>#REF!</v>
      </c>
      <c r="F38" s="158" t="e">
        <f>'nhập máy'!#REF!</f>
        <v>#REF!</v>
      </c>
      <c r="G38" s="158" t="e">
        <f>PACKINGLIST!#REF!</f>
        <v>#REF!</v>
      </c>
      <c r="H38" s="158" t="s">
        <v>80</v>
      </c>
    </row>
    <row r="39" spans="1:8">
      <c r="A39" s="158">
        <f t="shared" si="0"/>
        <v>38</v>
      </c>
      <c r="B39" s="158">
        <f t="shared" si="1"/>
        <v>38</v>
      </c>
      <c r="C39" s="158" t="e">
        <f>'HỢP ĐỒNG'!#REF!</f>
        <v>#REF!</v>
      </c>
      <c r="D39" s="158" t="e">
        <f>'HỢP ĐỒNG'!#REF!</f>
        <v>#REF!</v>
      </c>
      <c r="E39" s="158" t="e">
        <f>'HỢP ĐỒNG'!#REF!</f>
        <v>#REF!</v>
      </c>
      <c r="F39" s="158" t="e">
        <f>'nhập máy'!#REF!</f>
        <v>#REF!</v>
      </c>
      <c r="G39" s="158" t="e">
        <f>PACKINGLIST!#REF!</f>
        <v>#REF!</v>
      </c>
      <c r="H39" s="158" t="s">
        <v>80</v>
      </c>
    </row>
    <row r="40" spans="1:8">
      <c r="A40" s="158">
        <f t="shared" si="0"/>
        <v>39</v>
      </c>
      <c r="B40" s="158">
        <f t="shared" si="1"/>
        <v>39</v>
      </c>
      <c r="C40" s="158" t="e">
        <f>'HỢP ĐỒNG'!#REF!</f>
        <v>#REF!</v>
      </c>
      <c r="D40" s="158" t="e">
        <f>'HỢP ĐỒNG'!#REF!</f>
        <v>#REF!</v>
      </c>
      <c r="E40" s="158" t="e">
        <f>'HỢP ĐỒNG'!#REF!</f>
        <v>#REF!</v>
      </c>
      <c r="F40" s="158" t="e">
        <f>'nhập máy'!#REF!</f>
        <v>#REF!</v>
      </c>
      <c r="G40" s="158" t="e">
        <f>PACKINGLIST!#REF!</f>
        <v>#REF!</v>
      </c>
      <c r="H40" s="158" t="s">
        <v>80</v>
      </c>
    </row>
    <row r="41" spans="1:8">
      <c r="A41" s="158">
        <f t="shared" si="0"/>
        <v>40</v>
      </c>
      <c r="B41" s="158">
        <f t="shared" si="1"/>
        <v>40</v>
      </c>
      <c r="C41" s="158" t="e">
        <f>'HỢP ĐỒNG'!#REF!</f>
        <v>#REF!</v>
      </c>
      <c r="D41" s="158" t="e">
        <f>'HỢP ĐỒNG'!#REF!</f>
        <v>#REF!</v>
      </c>
      <c r="E41" s="158" t="e">
        <f>'HỢP ĐỒNG'!#REF!</f>
        <v>#REF!</v>
      </c>
      <c r="F41" s="158" t="e">
        <f>'nhập máy'!#REF!</f>
        <v>#REF!</v>
      </c>
      <c r="G41" s="158" t="e">
        <f>PACKINGLIST!#REF!</f>
        <v>#REF!</v>
      </c>
      <c r="H41" s="158" t="s">
        <v>80</v>
      </c>
    </row>
    <row r="42" spans="1:8">
      <c r="A42" s="158">
        <f t="shared" si="0"/>
        <v>41</v>
      </c>
      <c r="B42" s="158">
        <f t="shared" si="1"/>
        <v>41</v>
      </c>
      <c r="C42" s="158" t="e">
        <f>'HỢP ĐỒNG'!#REF!</f>
        <v>#REF!</v>
      </c>
      <c r="D42" s="158" t="e">
        <f>'HỢP ĐỒNG'!#REF!</f>
        <v>#REF!</v>
      </c>
      <c r="E42" s="158" t="e">
        <f>'HỢP ĐỒNG'!#REF!</f>
        <v>#REF!</v>
      </c>
      <c r="F42" s="158" t="e">
        <f>'nhập máy'!#REF!</f>
        <v>#REF!</v>
      </c>
      <c r="G42" s="158" t="e">
        <f>PACKINGLIST!#REF!</f>
        <v>#REF!</v>
      </c>
      <c r="H42" s="158" t="s">
        <v>80</v>
      </c>
    </row>
    <row r="43" spans="1:8">
      <c r="A43" s="158">
        <f t="shared" si="0"/>
        <v>42</v>
      </c>
      <c r="B43" s="158">
        <f t="shared" si="1"/>
        <v>42</v>
      </c>
      <c r="C43" s="158" t="e">
        <f>'HỢP ĐỒNG'!#REF!</f>
        <v>#REF!</v>
      </c>
      <c r="D43" s="158" t="e">
        <f>'HỢP ĐỒNG'!#REF!</f>
        <v>#REF!</v>
      </c>
      <c r="E43" s="158" t="e">
        <f>'HỢP ĐỒNG'!#REF!</f>
        <v>#REF!</v>
      </c>
      <c r="F43" s="158" t="e">
        <f>'nhập máy'!#REF!</f>
        <v>#REF!</v>
      </c>
      <c r="G43" s="158" t="e">
        <f>PACKINGLIST!#REF!</f>
        <v>#REF!</v>
      </c>
      <c r="H43" s="158" t="s">
        <v>80</v>
      </c>
    </row>
    <row r="44" spans="1:8">
      <c r="A44" s="158">
        <f t="shared" si="0"/>
        <v>43</v>
      </c>
      <c r="B44" s="158">
        <f t="shared" si="1"/>
        <v>43</v>
      </c>
      <c r="C44" s="158" t="e">
        <f>'HỢP ĐỒNG'!#REF!</f>
        <v>#REF!</v>
      </c>
      <c r="D44" s="158" t="e">
        <f>'HỢP ĐỒNG'!#REF!</f>
        <v>#REF!</v>
      </c>
      <c r="E44" s="158" t="e">
        <f>'HỢP ĐỒNG'!#REF!</f>
        <v>#REF!</v>
      </c>
      <c r="F44" s="158" t="e">
        <f>'nhập máy'!#REF!</f>
        <v>#REF!</v>
      </c>
      <c r="G44" s="158" t="e">
        <f>PACKINGLIST!#REF!</f>
        <v>#REF!</v>
      </c>
      <c r="H44" s="158" t="s">
        <v>80</v>
      </c>
    </row>
    <row r="45" spans="1:8">
      <c r="A45" s="158">
        <f t="shared" si="0"/>
        <v>44</v>
      </c>
      <c r="B45" s="158">
        <f t="shared" si="1"/>
        <v>44</v>
      </c>
      <c r="C45" s="158" t="e">
        <f>'HỢP ĐỒNG'!#REF!</f>
        <v>#REF!</v>
      </c>
      <c r="D45" s="158" t="e">
        <f>'HỢP ĐỒNG'!#REF!</f>
        <v>#REF!</v>
      </c>
      <c r="E45" s="158" t="e">
        <f>'HỢP ĐỒNG'!#REF!</f>
        <v>#REF!</v>
      </c>
      <c r="F45" s="158" t="e">
        <f>'nhập máy'!#REF!</f>
        <v>#REF!</v>
      </c>
      <c r="G45" s="158" t="e">
        <f>PACKINGLIST!#REF!</f>
        <v>#REF!</v>
      </c>
      <c r="H45" s="158" t="s">
        <v>80</v>
      </c>
    </row>
    <row r="46" spans="1:8">
      <c r="A46" s="158">
        <f t="shared" si="0"/>
        <v>45</v>
      </c>
      <c r="B46" s="158">
        <f t="shared" si="1"/>
        <v>45</v>
      </c>
      <c r="C46" s="158" t="e">
        <f>'HỢP ĐỒNG'!#REF!</f>
        <v>#REF!</v>
      </c>
      <c r="D46" s="158" t="e">
        <f>'HỢP ĐỒNG'!#REF!</f>
        <v>#REF!</v>
      </c>
      <c r="E46" s="158" t="e">
        <f>'HỢP ĐỒNG'!#REF!</f>
        <v>#REF!</v>
      </c>
      <c r="F46" s="158" t="e">
        <f>'nhập máy'!#REF!</f>
        <v>#REF!</v>
      </c>
      <c r="G46" s="158" t="e">
        <f>PACKINGLIST!#REF!</f>
        <v>#REF!</v>
      </c>
      <c r="H46" s="158" t="s">
        <v>80</v>
      </c>
    </row>
    <row r="47" spans="1:8">
      <c r="A47" s="158">
        <f t="shared" si="0"/>
        <v>46</v>
      </c>
      <c r="B47" s="158">
        <f t="shared" si="1"/>
        <v>46</v>
      </c>
      <c r="C47" s="158" t="e">
        <f>'HỢP ĐỒNG'!#REF!</f>
        <v>#REF!</v>
      </c>
      <c r="D47" s="158" t="e">
        <f>'HỢP ĐỒNG'!#REF!</f>
        <v>#REF!</v>
      </c>
      <c r="E47" s="158" t="e">
        <f>'HỢP ĐỒNG'!#REF!</f>
        <v>#REF!</v>
      </c>
      <c r="F47" s="158" t="e">
        <f>'nhập máy'!#REF!</f>
        <v>#REF!</v>
      </c>
      <c r="G47" s="158" t="e">
        <f>PACKINGLIST!#REF!</f>
        <v>#REF!</v>
      </c>
      <c r="H47" s="158" t="s">
        <v>80</v>
      </c>
    </row>
    <row r="48" spans="1:8">
      <c r="A48" s="158">
        <f t="shared" si="0"/>
        <v>47</v>
      </c>
      <c r="B48" s="158">
        <f t="shared" si="1"/>
        <v>47</v>
      </c>
      <c r="C48" s="158" t="e">
        <f>'HỢP ĐỒNG'!#REF!</f>
        <v>#REF!</v>
      </c>
      <c r="D48" s="158" t="e">
        <f>'HỢP ĐỒNG'!#REF!</f>
        <v>#REF!</v>
      </c>
      <c r="E48" s="158" t="e">
        <f>'HỢP ĐỒNG'!#REF!</f>
        <v>#REF!</v>
      </c>
      <c r="F48" s="158" t="e">
        <f>'nhập máy'!#REF!</f>
        <v>#REF!</v>
      </c>
      <c r="G48" s="158" t="e">
        <f>PACKINGLIST!#REF!</f>
        <v>#REF!</v>
      </c>
      <c r="H48" s="158" t="s">
        <v>80</v>
      </c>
    </row>
    <row r="49" spans="1:8">
      <c r="A49" s="158">
        <f t="shared" si="0"/>
        <v>48</v>
      </c>
      <c r="B49" s="158">
        <f t="shared" si="1"/>
        <v>48</v>
      </c>
      <c r="C49" s="158" t="e">
        <f>'HỢP ĐỒNG'!#REF!</f>
        <v>#REF!</v>
      </c>
      <c r="D49" s="158" t="e">
        <f>'HỢP ĐỒNG'!#REF!</f>
        <v>#REF!</v>
      </c>
      <c r="E49" s="158" t="e">
        <f>'HỢP ĐỒNG'!#REF!</f>
        <v>#REF!</v>
      </c>
      <c r="F49" s="158" t="e">
        <f>'nhập máy'!#REF!</f>
        <v>#REF!</v>
      </c>
      <c r="G49" s="158" t="e">
        <f>PACKINGLIST!#REF!</f>
        <v>#REF!</v>
      </c>
      <c r="H49" s="158" t="s">
        <v>80</v>
      </c>
    </row>
    <row r="50" spans="1:8">
      <c r="A50" s="158">
        <f t="shared" si="0"/>
        <v>49</v>
      </c>
      <c r="B50" s="158">
        <f t="shared" si="1"/>
        <v>49</v>
      </c>
      <c r="C50" s="158" t="e">
        <f>'HỢP ĐỒNG'!#REF!</f>
        <v>#REF!</v>
      </c>
      <c r="D50" s="158" t="e">
        <f>'HỢP ĐỒNG'!#REF!</f>
        <v>#REF!</v>
      </c>
      <c r="E50" s="158" t="e">
        <f>'HỢP ĐỒNG'!#REF!</f>
        <v>#REF!</v>
      </c>
      <c r="F50" s="158" t="e">
        <f>'nhập máy'!#REF!</f>
        <v>#REF!</v>
      </c>
      <c r="G50" s="158" t="e">
        <f>PACKINGLIST!#REF!</f>
        <v>#REF!</v>
      </c>
      <c r="H50" s="158" t="s">
        <v>80</v>
      </c>
    </row>
    <row r="51" spans="1:8">
      <c r="A51" s="158">
        <f t="shared" si="0"/>
        <v>50</v>
      </c>
      <c r="B51" s="158">
        <f t="shared" si="1"/>
        <v>50</v>
      </c>
      <c r="C51" s="158" t="e">
        <f>'HỢP ĐỒNG'!#REF!</f>
        <v>#REF!</v>
      </c>
      <c r="D51" s="158" t="e">
        <f>'HỢP ĐỒNG'!#REF!</f>
        <v>#REF!</v>
      </c>
      <c r="E51" s="158" t="e">
        <f>'HỢP ĐỒNG'!#REF!</f>
        <v>#REF!</v>
      </c>
      <c r="F51" s="158" t="e">
        <f>'nhập máy'!#REF!</f>
        <v>#REF!</v>
      </c>
      <c r="G51" s="158" t="e">
        <f>PACKINGLIST!#REF!</f>
        <v>#REF!</v>
      </c>
      <c r="H51" s="158" t="s">
        <v>80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65213-9DBA-4D98-B89F-07111855E767}">
  <dimension ref="A1:C8"/>
  <sheetViews>
    <sheetView workbookViewId="0">
      <selection activeCell="A3" sqref="A3:IV74"/>
    </sheetView>
  </sheetViews>
  <sheetFormatPr defaultRowHeight="15.75"/>
  <cols>
    <col min="1" max="1" width="26.7109375" style="169" customWidth="1"/>
    <col min="2" max="2" width="35.42578125" style="163" customWidth="1"/>
    <col min="3" max="3" width="57.85546875" style="163" bestFit="1" customWidth="1"/>
    <col min="4" max="16384" width="9.140625" style="163"/>
  </cols>
  <sheetData>
    <row r="1" spans="1:3">
      <c r="A1" s="162" t="s">
        <v>110</v>
      </c>
      <c r="B1" s="162" t="s">
        <v>111</v>
      </c>
      <c r="C1" s="162" t="s">
        <v>112</v>
      </c>
    </row>
    <row r="2" spans="1:3">
      <c r="A2" s="164" t="s">
        <v>113</v>
      </c>
      <c r="B2" s="165" t="s">
        <v>103</v>
      </c>
      <c r="C2" s="166" t="s">
        <v>114</v>
      </c>
    </row>
    <row r="3" spans="1:3">
      <c r="A3" s="164" t="s">
        <v>115</v>
      </c>
      <c r="B3" s="165" t="s">
        <v>104</v>
      </c>
      <c r="C3" s="166" t="s">
        <v>116</v>
      </c>
    </row>
    <row r="4" spans="1:3">
      <c r="A4" s="164" t="s">
        <v>117</v>
      </c>
      <c r="B4" s="165" t="s">
        <v>105</v>
      </c>
      <c r="C4" s="166" t="s">
        <v>118</v>
      </c>
    </row>
    <row r="5" spans="1:3">
      <c r="A5" s="164" t="s">
        <v>119</v>
      </c>
      <c r="B5" s="165" t="s">
        <v>106</v>
      </c>
      <c r="C5" s="166" t="s">
        <v>120</v>
      </c>
    </row>
    <row r="6" spans="1:3">
      <c r="A6" s="164" t="s">
        <v>117</v>
      </c>
      <c r="B6" s="165" t="s">
        <v>107</v>
      </c>
      <c r="C6" s="166" t="s">
        <v>121</v>
      </c>
    </row>
    <row r="7" spans="1:3">
      <c r="A7" s="164" t="s">
        <v>117</v>
      </c>
      <c r="B7" s="165" t="s">
        <v>108</v>
      </c>
      <c r="C7" s="167" t="s">
        <v>122</v>
      </c>
    </row>
    <row r="8" spans="1:3">
      <c r="A8" s="164" t="s">
        <v>117</v>
      </c>
      <c r="B8" s="165" t="s">
        <v>109</v>
      </c>
      <c r="C8" s="168" t="s">
        <v>123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4</vt:i4>
      </vt:variant>
    </vt:vector>
  </HeadingPairs>
  <TitlesOfParts>
    <vt:vector size="15" baseType="lpstr">
      <vt:lpstr>Thông tin xe</vt:lpstr>
      <vt:lpstr>HỢP ĐỒNG</vt:lpstr>
      <vt:lpstr>INV TIẾNG ANH</vt:lpstr>
      <vt:lpstr>INVOICE</vt:lpstr>
      <vt:lpstr>PACKINGLIST</vt:lpstr>
      <vt:lpstr>nhập máy</vt:lpstr>
      <vt:lpstr>INVOICE lam CO</vt:lpstr>
      <vt:lpstr>Sheet1</vt:lpstr>
      <vt:lpstr>LIST SOAT</vt:lpstr>
      <vt:lpstr>BAN_KE</vt:lpstr>
      <vt:lpstr>HUONG_DAN</vt:lpstr>
      <vt:lpstr>'INV TIẾNG ANH'!Print_Area</vt:lpstr>
      <vt:lpstr>INVOICE!Print_Area</vt:lpstr>
      <vt:lpstr>'INVOICE lam CO'!Print_Area</vt:lpstr>
      <vt:lpstr>PACKINGLIST!Print_Area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KSC</dc:creator>
  <cp:lastModifiedBy>Admin</cp:lastModifiedBy>
  <cp:lastPrinted>2026-09-08T03:43:53Z</cp:lastPrinted>
  <dcterms:created xsi:type="dcterms:W3CDTF">1996-10-14T23:33:28Z</dcterms:created>
  <dcterms:modified xsi:type="dcterms:W3CDTF">2026-09-09T12:35:02Z</dcterms:modified>
</cp:coreProperties>
</file>